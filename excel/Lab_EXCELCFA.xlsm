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ort\"/>
    </mc:Choice>
  </mc:AlternateContent>
  <xr:revisionPtr revIDLastSave="0" documentId="8_{82338BF5-D95D-4055-9DC2-C4CF6F071D55}" xr6:coauthVersionLast="47" xr6:coauthVersionMax="47" xr10:uidLastSave="{00000000-0000-0000-0000-000000000000}"/>
  <bookViews>
    <workbookView xWindow="-120" yWindow="-120" windowWidth="20730" windowHeight="11160" activeTab="3" xr2:uid="{5E6BF02E-D637-49B7-811A-292ECDDB7EF0}"/>
  </bookViews>
  <sheets>
    <sheet name="Analises" sheetId="1" r:id="rId1"/>
    <sheet name="Compostos" sheetId="3" r:id="rId2"/>
    <sheet name="ReferênciaPH" sheetId="5" r:id="rId3"/>
    <sheet name="Config" sheetId="4" r:id="rId4"/>
  </sheets>
  <definedNames>
    <definedName name="_xleta.IF" hidden="1" xlm="1">#NAME?</definedName>
    <definedName name="_xleta.LARGE" hidden="1" xlm="1">#NAME?</definedName>
    <definedName name="_xleta.VLOOKUP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F19" i="1"/>
  <c r="K19" i="1" s="1"/>
  <c r="L19" i="1" s="1"/>
  <c r="M19" i="1" s="1"/>
  <c r="E19" i="1"/>
  <c r="F18" i="1"/>
  <c r="K18" i="1" s="1"/>
  <c r="L18" i="1" s="1"/>
  <c r="M18" i="1" s="1"/>
  <c r="E18" i="1"/>
  <c r="F17" i="1"/>
  <c r="K17" i="1" s="1"/>
  <c r="L17" i="1" s="1"/>
  <c r="M17" i="1" s="1"/>
  <c r="E17" i="1"/>
  <c r="F16" i="1"/>
  <c r="K16" i="1" s="1"/>
  <c r="L16" i="1" s="1"/>
  <c r="M16" i="1" s="1"/>
  <c r="E16" i="1"/>
  <c r="F15" i="1"/>
  <c r="K15" i="1" s="1"/>
  <c r="L15" i="1" s="1"/>
  <c r="M15" i="1" s="1"/>
  <c r="E15" i="1"/>
  <c r="F14" i="1"/>
  <c r="K14" i="1" s="1"/>
  <c r="L14" i="1" s="1"/>
  <c r="M14" i="1" s="1"/>
  <c r="E14" i="1"/>
  <c r="F13" i="1"/>
  <c r="K13" i="1" s="1"/>
  <c r="L13" i="1" s="1"/>
  <c r="M13" i="1" s="1"/>
  <c r="E13" i="1"/>
  <c r="F12" i="1"/>
  <c r="K12" i="1" s="1"/>
  <c r="L12" i="1" s="1"/>
  <c r="M12" i="1" s="1"/>
  <c r="E12" i="1"/>
  <c r="F11" i="1"/>
  <c r="G11" i="1" s="1"/>
  <c r="E11" i="1"/>
  <c r="F10" i="1"/>
  <c r="K10" i="1" s="1"/>
  <c r="L10" i="1" s="1"/>
  <c r="M10" i="1" s="1"/>
  <c r="E10" i="1"/>
  <c r="F9" i="1"/>
  <c r="K9" i="1" s="1"/>
  <c r="L9" i="1" s="1"/>
  <c r="M9" i="1" s="1"/>
  <c r="E9" i="1"/>
  <c r="F8" i="1"/>
  <c r="K8" i="1" s="1"/>
  <c r="L8" i="1" s="1"/>
  <c r="M8" i="1" s="1"/>
  <c r="E8" i="1"/>
  <c r="F7" i="1"/>
  <c r="K7" i="1" s="1"/>
  <c r="L7" i="1" s="1"/>
  <c r="M7" i="1" s="1"/>
  <c r="E7" i="1"/>
  <c r="F6" i="1"/>
  <c r="K6" i="1" s="1"/>
  <c r="L6" i="1" s="1"/>
  <c r="M6" i="1" s="1"/>
  <c r="E6" i="1"/>
  <c r="F5" i="1"/>
  <c r="K5" i="1" s="1"/>
  <c r="L5" i="1" s="1"/>
  <c r="M5" i="1" s="1"/>
  <c r="E5" i="1"/>
  <c r="F4" i="1"/>
  <c r="K4" i="1" s="1"/>
  <c r="L4" i="1" s="1"/>
  <c r="M4" i="1" s="1"/>
  <c r="E4" i="1"/>
  <c r="F3" i="1"/>
  <c r="G3" i="1" s="1"/>
  <c r="E3" i="1"/>
  <c r="K11" i="1" l="1"/>
  <c r="L11" i="1" s="1"/>
  <c r="M11" i="1" s="1"/>
  <c r="K3" i="1"/>
  <c r="L3" i="1" s="1"/>
  <c r="M3" i="1" s="1"/>
  <c r="G9" i="1"/>
  <c r="G17" i="1"/>
  <c r="G7" i="1"/>
  <c r="G15" i="1"/>
  <c r="G5" i="1"/>
  <c r="G13" i="1"/>
  <c r="G12" i="1"/>
  <c r="G4" i="1"/>
  <c r="G8" i="1"/>
  <c r="G16" i="1"/>
  <c r="G19" i="1"/>
  <c r="G6" i="1"/>
  <c r="G10" i="1"/>
  <c r="G14" i="1"/>
  <c r="G18" i="1"/>
</calcChain>
</file>

<file path=xl/sharedStrings.xml><?xml version="1.0" encoding="utf-8"?>
<sst xmlns="http://schemas.openxmlformats.org/spreadsheetml/2006/main" count="219" uniqueCount="167">
  <si>
    <t>Data</t>
  </si>
  <si>
    <t>Lote</t>
  </si>
  <si>
    <t>Composto</t>
  </si>
  <si>
    <t>Nomenclatura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</si>
  <si>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</si>
  <si>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</si>
  <si>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</si>
  <si>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</si>
  <si>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</si>
  <si>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</si>
  <si>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</si>
  <si>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</si>
  <si>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</si>
  <si>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</si>
  <si>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Concentração  (mol/L )</t>
  </si>
  <si>
    <t>Registro de Análises</t>
  </si>
  <si>
    <t>011</t>
  </si>
  <si>
    <t>012</t>
  </si>
  <si>
    <t>Status</t>
  </si>
  <si>
    <t>Cadastro de compostos</t>
  </si>
  <si>
    <t>NaOH</t>
  </si>
  <si>
    <t>Hidróxido de Sódio</t>
  </si>
  <si>
    <t>Ácido Nítrico</t>
  </si>
  <si>
    <t>Amônia</t>
  </si>
  <si>
    <t>Hidróxido de Amônio</t>
  </si>
  <si>
    <t>NaCl</t>
  </si>
  <si>
    <t>Cloreto de Sódio</t>
  </si>
  <si>
    <t>Cloreto de Potássio</t>
  </si>
  <si>
    <t>Hidróxido de Cálcio</t>
  </si>
  <si>
    <t>Cloreto de Amônio</t>
  </si>
  <si>
    <t>HBr</t>
  </si>
  <si>
    <t>Ácido Bromídrico</t>
  </si>
  <si>
    <t>Ácido Iodídrico</t>
  </si>
  <si>
    <t>HF</t>
  </si>
  <si>
    <t>Ácido Fluorídrico</t>
  </si>
  <si>
    <t>013</t>
  </si>
  <si>
    <t>014</t>
  </si>
  <si>
    <t>015</t>
  </si>
  <si>
    <t>016</t>
  </si>
  <si>
    <t>017</t>
  </si>
  <si>
    <t>Formula</t>
  </si>
  <si>
    <t>Estrutura 2D</t>
  </si>
  <si>
    <t>Massa Molar    (g/mol)</t>
  </si>
  <si>
    <t>Ácido Perclórico</t>
  </si>
  <si>
    <t>Ácido Carbônico</t>
  </si>
  <si>
    <t>Ácido Bórico</t>
  </si>
  <si>
    <t>Ácido Hipocloroso</t>
  </si>
  <si>
    <t>IDComposto</t>
  </si>
  <si>
    <t>IDAnálise</t>
  </si>
  <si>
    <t>IDReferência</t>
  </si>
  <si>
    <t>Concentração (mol/L)</t>
  </si>
  <si>
    <t>Temperatura (Cº)</t>
  </si>
  <si>
    <t>PH Teórico</t>
  </si>
  <si>
    <t>Método</t>
  </si>
  <si>
    <t>Condição precisa ser revista</t>
  </si>
  <si>
    <t>Condição precisa ser definida</t>
  </si>
  <si>
    <t>pH=−log(C)</t>
  </si>
  <si>
    <t>14 + log(C)</t>
  </si>
  <si>
    <t>Equilíbrio da 2ª dissociação</t>
  </si>
  <si>
    <t>Equilíbrio com Kb</t>
  </si>
  <si>
    <t>Neutro a 25 °C</t>
  </si>
  <si>
    <t>Hidrólise com Ka</t>
  </si>
  <si>
    <t>Equilíbrio com Ka</t>
  </si>
  <si>
    <t>14 + log(2S)</t>
  </si>
  <si>
    <t>−log(C)</t>
  </si>
  <si>
    <t>PH Medido</t>
  </si>
  <si>
    <t>Referência aplicavel?</t>
  </si>
  <si>
    <t>Sim</t>
  </si>
  <si>
    <t>Revisar Condições</t>
  </si>
  <si>
    <t>Pendente</t>
  </si>
  <si>
    <t>Diferença de PH</t>
  </si>
  <si>
    <t>Ácido Clorídrico</t>
  </si>
  <si>
    <t>pH = −log(C)</t>
  </si>
  <si>
    <t>Ácido Sulfúrico</t>
  </si>
  <si>
    <t>HCl</t>
  </si>
  <si>
    <t>KCl</t>
  </si>
  <si>
    <t>NH4Cl</t>
  </si>
  <si>
    <t>HI</t>
  </si>
  <si>
    <r>
      <t>H2SO</t>
    </r>
    <r>
      <rPr>
        <vertAlign val="subscript"/>
        <sz val="14"/>
        <color theme="1"/>
        <rFont val="Aptos Narrow"/>
        <family val="2"/>
        <scheme val="minor"/>
      </rPr>
      <t>4</t>
    </r>
  </si>
  <si>
    <r>
      <t>HNO</t>
    </r>
    <r>
      <rPr>
        <vertAlign val="subscript"/>
        <sz val="14"/>
        <color theme="1"/>
        <rFont val="Aptos Narrow"/>
        <family val="2"/>
        <scheme val="minor"/>
      </rPr>
      <t>3</t>
    </r>
  </si>
  <si>
    <r>
      <t>NH</t>
    </r>
    <r>
      <rPr>
        <vertAlign val="subscript"/>
        <sz val="14"/>
        <color theme="1"/>
        <rFont val="Aptos Narrow"/>
        <family val="2"/>
        <scheme val="minor"/>
      </rPr>
      <t>3</t>
    </r>
  </si>
  <si>
    <r>
      <t>NH</t>
    </r>
    <r>
      <rPr>
        <vertAlign val="subscript"/>
        <sz val="14"/>
        <color theme="1"/>
        <rFont val="Aptos Narrow"/>
        <family val="2"/>
        <scheme val="minor"/>
      </rPr>
      <t>4</t>
    </r>
    <r>
      <rPr>
        <sz val="14"/>
        <color theme="1"/>
        <rFont val="Aptos Narrow"/>
        <family val="2"/>
        <scheme val="minor"/>
      </rPr>
      <t>OH</t>
    </r>
  </si>
  <si>
    <r>
      <t>Ca(OH)</t>
    </r>
    <r>
      <rPr>
        <vertAlign val="subscript"/>
        <sz val="14"/>
        <color theme="1"/>
        <rFont val="Aptos Narrow"/>
        <family val="2"/>
        <scheme val="minor"/>
      </rPr>
      <t>2</t>
    </r>
  </si>
  <si>
    <r>
      <t>HClO</t>
    </r>
    <r>
      <rPr>
        <vertAlign val="subscript"/>
        <sz val="14"/>
        <color theme="1"/>
        <rFont val="Aptos Narrow"/>
        <family val="2"/>
        <scheme val="minor"/>
      </rPr>
      <t>4</t>
    </r>
  </si>
  <si>
    <r>
      <t>H</t>
    </r>
    <r>
      <rPr>
        <vertAlign val="subscript"/>
        <sz val="14"/>
        <color theme="1"/>
        <rFont val="Aptos Narrow"/>
        <family val="2"/>
        <scheme val="minor"/>
      </rPr>
      <t>2</t>
    </r>
    <r>
      <rPr>
        <sz val="14"/>
        <color theme="1"/>
        <rFont val="Aptos Narrow"/>
        <family val="2"/>
        <scheme val="minor"/>
      </rPr>
      <t>CO</t>
    </r>
    <r>
      <rPr>
        <vertAlign val="subscript"/>
        <sz val="14"/>
        <color theme="1"/>
        <rFont val="Aptos Narrow"/>
        <family val="2"/>
        <scheme val="minor"/>
      </rPr>
      <t>3</t>
    </r>
  </si>
  <si>
    <r>
      <t>H</t>
    </r>
    <r>
      <rPr>
        <vertAlign val="subscript"/>
        <sz val="14"/>
        <color theme="1"/>
        <rFont val="Aptos Narrow"/>
        <family val="2"/>
        <scheme val="minor"/>
      </rPr>
      <t>3</t>
    </r>
    <r>
      <rPr>
        <sz val="14"/>
        <color theme="1"/>
        <rFont val="Aptos Narrow"/>
        <family val="2"/>
        <scheme val="minor"/>
      </rPr>
      <t>BO</t>
    </r>
    <r>
      <rPr>
        <vertAlign val="subscript"/>
        <sz val="14"/>
        <color theme="1"/>
        <rFont val="Aptos Narrow"/>
        <family val="2"/>
        <scheme val="minor"/>
      </rPr>
      <t>3</t>
    </r>
  </si>
  <si>
    <t>HClO</t>
  </si>
  <si>
    <t>CodigoExplorador</t>
  </si>
  <si>
    <t>ImagemArquivo</t>
  </si>
  <si>
    <t>1.jpg</t>
  </si>
  <si>
    <t>H2SO4</t>
  </si>
  <si>
    <t>2.jpg</t>
  </si>
  <si>
    <t>3.jpg</t>
  </si>
  <si>
    <t>HNO3</t>
  </si>
  <si>
    <t>4.jpg</t>
  </si>
  <si>
    <t>NH3</t>
  </si>
  <si>
    <t>5.jpg</t>
  </si>
  <si>
    <t>NH4OH</t>
  </si>
  <si>
    <t>6.jpg</t>
  </si>
  <si>
    <t>7.jpg</t>
  </si>
  <si>
    <t>8.jpg</t>
  </si>
  <si>
    <t>CaOH2</t>
  </si>
  <si>
    <t>9.jpg</t>
  </si>
  <si>
    <t>10.jpg</t>
  </si>
  <si>
    <t>11.jpg</t>
  </si>
  <si>
    <t>12.jpg</t>
  </si>
  <si>
    <t>13.jpg</t>
  </si>
  <si>
    <t>HClO4</t>
  </si>
  <si>
    <t>14.jpg</t>
  </si>
  <si>
    <t>H2CO3</t>
  </si>
  <si>
    <t>15.jpg</t>
  </si>
  <si>
    <t>H3BO3</t>
  </si>
  <si>
    <t>16.jpg</t>
  </si>
  <si>
    <t>17.jpg</t>
  </si>
  <si>
    <t>SourceKind</t>
  </si>
  <si>
    <t>SourceReference</t>
  </si>
  <si>
    <t>Reviewed</t>
  </si>
  <si>
    <t>CUSTOM_DIDACTIC</t>
  </si>
  <si>
    <t>Lab_EXCEL2Coluna.xlsm / ReferênciaPH / ID 101; modelo didático do autor; revisão independente não registrada.</t>
  </si>
  <si>
    <t>Lab_EXCEL2Coluna.xlsm / ReferênciaPH / ID 102; modelo didático do autor; revisão independente não registrada.</t>
  </si>
  <si>
    <t>Lab_EXCEL2Coluna.xlsm / ReferênciaPH / ID 103; modelo didático do autor; revisão independente não registrada.</t>
  </si>
  <si>
    <t>Lab_EXCEL2Coluna.xlsm / ReferênciaPH / ID 104; modelo didático do autor; revisão independente não registrada.</t>
  </si>
  <si>
    <t>Lab_EXCEL2Coluna.xlsm / ReferênciaPH / ID 105; modelo didático do autor; revisão independente não registrada.</t>
  </si>
  <si>
    <t>Lab_EXCEL2Coluna.xlsm / ReferênciaPH / ID 106; modelo didático do autor; revisão independente não registrada.</t>
  </si>
  <si>
    <t>Lab_EXCEL2Coluna.xlsm / ReferênciaPH / ID 107; modelo didático do autor; revisão independente não registrada.</t>
  </si>
  <si>
    <t>Lab_EXCEL2Coluna.xlsm / ReferênciaPH / ID 108; modelo didático do autor; revisão independente não registrada.</t>
  </si>
  <si>
    <t>Lab_EXCEL2Coluna.xlsm / ReferênciaPH / ID 109; modelo didático do autor; revisão independente não registrada.</t>
  </si>
  <si>
    <t>Lab_EXCEL2Coluna.xlsm / ReferênciaPH / ID 110; modelo didático do autor; revisão independente não registrada.</t>
  </si>
  <si>
    <t>Lab_EXCEL2Coluna.xlsm / ReferênciaPH / ID 111; modelo didático do autor; revisão independente não registrada.</t>
  </si>
  <si>
    <t>Lab_EXCEL2Coluna.xlsm / ReferênciaPH / ID 112; modelo didático do autor; revisão independente não registrada.</t>
  </si>
  <si>
    <t>Lab_EXCEL2Coluna.xlsm / ReferênciaPH / ID 113; modelo didático do autor; revisão independente não registrada.</t>
  </si>
  <si>
    <t>Lab_EXCEL2Coluna.xlsm / ReferênciaPH / ID 114; modelo didático do autor; revisão independente não registrada.</t>
  </si>
  <si>
    <t>Lab_EXCEL2Coluna.xlsm / ReferênciaPH / ID 115; modelo didático do autor; revisão independente não registrada.</t>
  </si>
  <si>
    <t>Lab_EXCEL2Coluna.xlsm / ReferênciaPH / ID 116; modelo didático do autor; revisão independente não registrada.</t>
  </si>
  <si>
    <t>Lab_EXCEL2Coluna.xlsm / ReferênciaPH / ID 117; modelo didático do autor; revisão independente não registrada.</t>
  </si>
  <si>
    <t>Chave</t>
  </si>
  <si>
    <t>Valor</t>
  </si>
  <si>
    <t>Orientação</t>
  </si>
  <si>
    <t>SQL_SERVER</t>
  </si>
  <si>
    <t>Preencha o servidor ou instância do SQL Server.</t>
  </si>
  <si>
    <t>DATABASE</t>
  </si>
  <si>
    <t>Confirme o nome do banco antes da importação.</t>
  </si>
  <si>
    <t>IMAGE_PATH</t>
  </si>
  <si>
    <t>Resolvido pelo instalador para a pasta extraída do projeto.</t>
  </si>
  <si>
    <t>SQL_PROVIDER</t>
  </si>
  <si>
    <t>MSOLEDBSQL19</t>
  </si>
  <si>
    <t>Requer Microsoft OLE DB Driver 19 instalado.</t>
  </si>
  <si>
    <t>SQL_ENCRYPT</t>
  </si>
  <si>
    <t>Mandatory</t>
  </si>
  <si>
    <t>Conexão criptografada; configure o certificado no servidor.</t>
  </si>
  <si>
    <t>SQL_TRUST_SERVER_CERTIFICATE</t>
  </si>
  <si>
    <t>Valida o certificado do servidor.</t>
  </si>
  <si>
    <t>WEB_BASE_URL</t>
  </si>
  <si>
    <t>Informe a URL final do explorador, sem consulta ou fragmento.</t>
  </si>
  <si>
    <t>VBA_STATUS</t>
  </si>
  <si>
    <t>Execute excel/InstalarMacros.ps1 no Windows antes de importar.</t>
  </si>
  <si>
    <t>REFERENCIAS</t>
  </si>
  <si>
    <t>Revisão química pendente</t>
  </si>
  <si>
    <t>Valores e métodos originais preservados; Reviewed=0.</t>
  </si>
  <si>
    <t>AVISO</t>
  </si>
  <si>
    <t>Arquivo preparado; as macros antigas permanecem até a instalação.</t>
  </si>
  <si>
    <t>C:\ExploradorMolecular\assets\images</t>
  </si>
  <si>
    <t>Modulos instalados; compilacao pendente</t>
  </si>
  <si>
    <t>Dados simulados para fins educacionais; compile VBA antes de importar.</t>
  </si>
  <si>
    <t>.\SQLEXPRESS</t>
  </si>
  <si>
    <t>ExploradorMolecularTest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</si>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</sst>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Segoe UI"/>
      <family val="2"/>
    </font>
    <font>
      <sz val="14"/>
      <color theme="1"/>
      <name val="Segoe UI Black"/>
      <family val="2"/>
    </font>
    <font>
      <sz val="20"/>
      <color theme="0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vertAlign val="subscript"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Segoe UI"/>
      <family val="2"/>
    </font>
    <font>
      <sz val="14"/>
      <color theme="0"/>
      <name val="Segoe UI Black"/>
      <family val="2"/>
    </font>
    <font>
      <sz val="20"/>
      <color theme="0"/>
      <name val="Segoe UI Black"/>
      <family val="2"/>
    </font>
    <font>
      <sz val="11"/>
      <color theme="1"/>
      <name val="Aptos Narrow"/>
      <family val="2"/>
      <scheme val="minor"/>
    </font>
    <font>
      <b/>
      <sz val="16"/>
      <color rgb="FFFFFFFF"/>
      <name val="Segoe UI Black"/>
      <family val="2"/>
    </font>
    <font>
      <b/>
      <sz val="16"/>
      <color rgb="FFFFFFFF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none"/>
    </fill>
    <fill>
      <patternFill patternType="solid">
        <fgColor rgb="FF7030A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/>
    </xf>
    <xf numFmtId="164" fontId="12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2" fontId="12" fillId="0" borderId="5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4" xfId="0" quotePrefix="1" applyFont="1" applyBorder="1" applyAlignment="1">
      <alignment horizontal="center"/>
    </xf>
    <xf numFmtId="2" fontId="12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5" fillId="5" borderId="6" xfId="0" applyFont="1" applyFill="1" applyBorder="1"/>
    <xf numFmtId="0" fontId="16" fillId="6" borderId="6" xfId="0" applyFont="1" applyFill="1" applyBorder="1" applyAlignment="1">
      <alignment horizontal="center" vertical="center" wrapText="1"/>
    </xf>
    <xf numFmtId="0" fontId="17" fillId="6" borderId="6" xfId="0" applyFont="1" applyFill="1" applyBorder="1" applyAlignment="1">
      <alignment horizontal="center" vertical="center" wrapText="1"/>
    </xf>
    <xf numFmtId="0" fontId="18" fillId="5" borderId="7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wrapText="1"/>
    </xf>
    <xf numFmtId="0" fontId="20" fillId="6" borderId="6" xfId="0" applyFont="1" applyFill="1" applyBorder="1"/>
    <xf numFmtId="0" fontId="19" fillId="5" borderId="6" xfId="0" applyFont="1" applyFill="1" applyBorder="1" applyAlignment="1">
      <alignment vertical="center" wrapText="1"/>
    </xf>
    <xf numFmtId="0" fontId="0" fillId="5" borderId="6" xfId="0" applyFill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179388</xdr:colOff>
      <xdr:row>2</xdr:row>
      <xdr:rowOff>50800</xdr:rowOff>
    </xdr:from>
    <xdr:to>
      <xdr:col>3</xdr:col>
      <xdr:colOff>1468438</xdr:colOff>
      <xdr:row>2</xdr:row>
      <xdr:rowOff>1339850</xdr:rowOff>
    </xdr:to>
    <xdr:pic>
      <xdr:nvPicPr>
        <xdr:cNvPr id="3" name="imgCmp_1" descr="IDComposto=1|Ácido Clorídrico">
          <a:extLst>
            <a:ext uri="{FF2B5EF4-FFF2-40B4-BE49-F238E27FC236}">
              <a16:creationId xmlns:a16="http://schemas.microsoft.com/office/drawing/2014/main" id="{55CD337D-029A-49E5-8547-1AA5287DA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8985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3</xdr:row>
      <xdr:rowOff>50800</xdr:rowOff>
    </xdr:from>
    <xdr:to>
      <xdr:col>3</xdr:col>
      <xdr:colOff>1468438</xdr:colOff>
      <xdr:row>3</xdr:row>
      <xdr:rowOff>1339850</xdr:rowOff>
    </xdr:to>
    <xdr:pic>
      <xdr:nvPicPr>
        <xdr:cNvPr id="5" name="imgCmp_2" descr="IDComposto=2|Ácido Sulfúrico">
          <a:extLst>
            <a:ext uri="{FF2B5EF4-FFF2-40B4-BE49-F238E27FC236}">
              <a16:creationId xmlns:a16="http://schemas.microsoft.com/office/drawing/2014/main" id="{13009A94-41D4-EAEF-2809-FDFE4AE70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22891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4</xdr:row>
      <xdr:rowOff>50800</xdr:rowOff>
    </xdr:from>
    <xdr:to>
      <xdr:col>3</xdr:col>
      <xdr:colOff>1468438</xdr:colOff>
      <xdr:row>4</xdr:row>
      <xdr:rowOff>1339850</xdr:rowOff>
    </xdr:to>
    <xdr:pic>
      <xdr:nvPicPr>
        <xdr:cNvPr id="7" name="imgCmp_3" descr="IDComposto=3|Hidróxido de Sódio">
          <a:extLst>
            <a:ext uri="{FF2B5EF4-FFF2-40B4-BE49-F238E27FC236}">
              <a16:creationId xmlns:a16="http://schemas.microsoft.com/office/drawing/2014/main" id="{EA15E3D8-A71E-3116-6967-6D4058891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36798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6</xdr:row>
      <xdr:rowOff>50800</xdr:rowOff>
    </xdr:from>
    <xdr:to>
      <xdr:col>3</xdr:col>
      <xdr:colOff>1468438</xdr:colOff>
      <xdr:row>6</xdr:row>
      <xdr:rowOff>1339850</xdr:rowOff>
    </xdr:to>
    <xdr:pic>
      <xdr:nvPicPr>
        <xdr:cNvPr id="11" name="imgCmp_5" descr="IDComposto=5|Amônia">
          <a:extLst>
            <a:ext uri="{FF2B5EF4-FFF2-40B4-BE49-F238E27FC236}">
              <a16:creationId xmlns:a16="http://schemas.microsoft.com/office/drawing/2014/main" id="{E51367FD-6CAA-B6FE-96F2-D0FBAB69A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64611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8</xdr:row>
      <xdr:rowOff>50800</xdr:rowOff>
    </xdr:from>
    <xdr:to>
      <xdr:col>3</xdr:col>
      <xdr:colOff>1468438</xdr:colOff>
      <xdr:row>8</xdr:row>
      <xdr:rowOff>1339850</xdr:rowOff>
    </xdr:to>
    <xdr:pic>
      <xdr:nvPicPr>
        <xdr:cNvPr id="15" name="imgCmp_7" descr="IDComposto=7|Cloreto de Sódio">
          <a:extLst>
            <a:ext uri="{FF2B5EF4-FFF2-40B4-BE49-F238E27FC236}">
              <a16:creationId xmlns:a16="http://schemas.microsoft.com/office/drawing/2014/main" id="{A428B2B9-ECB1-C490-C780-D0857F4F1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92424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9</xdr:row>
      <xdr:rowOff>50800</xdr:rowOff>
    </xdr:from>
    <xdr:to>
      <xdr:col>3</xdr:col>
      <xdr:colOff>1468438</xdr:colOff>
      <xdr:row>9</xdr:row>
      <xdr:rowOff>1339850</xdr:rowOff>
    </xdr:to>
    <xdr:pic>
      <xdr:nvPicPr>
        <xdr:cNvPr id="17" name="imgCmp_8" descr="IDComposto=8|Cloreto de Potássio">
          <a:extLst>
            <a:ext uri="{FF2B5EF4-FFF2-40B4-BE49-F238E27FC236}">
              <a16:creationId xmlns:a16="http://schemas.microsoft.com/office/drawing/2014/main" id="{6FECACF6-BEC9-0AD5-95F6-C081101AE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06330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10</xdr:row>
      <xdr:rowOff>50800</xdr:rowOff>
    </xdr:from>
    <xdr:to>
      <xdr:col>3</xdr:col>
      <xdr:colOff>1468438</xdr:colOff>
      <xdr:row>10</xdr:row>
      <xdr:rowOff>1339850</xdr:rowOff>
    </xdr:to>
    <xdr:pic>
      <xdr:nvPicPr>
        <xdr:cNvPr id="19" name="imgCmp_9" descr="IDComposto=9|Hidróxido de Cálcio">
          <a:extLst>
            <a:ext uri="{FF2B5EF4-FFF2-40B4-BE49-F238E27FC236}">
              <a16:creationId xmlns:a16="http://schemas.microsoft.com/office/drawing/2014/main" id="{74C1F067-61FC-3851-E2B4-E9B6FD40F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20237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11</xdr:row>
      <xdr:rowOff>50800</xdr:rowOff>
    </xdr:from>
    <xdr:to>
      <xdr:col>3</xdr:col>
      <xdr:colOff>1468438</xdr:colOff>
      <xdr:row>11</xdr:row>
      <xdr:rowOff>1339850</xdr:rowOff>
    </xdr:to>
    <xdr:pic>
      <xdr:nvPicPr>
        <xdr:cNvPr id="21" name="imgCmp_10" descr="IDComposto=10|Cloreto de Amônio">
          <a:extLst>
            <a:ext uri="{FF2B5EF4-FFF2-40B4-BE49-F238E27FC236}">
              <a16:creationId xmlns:a16="http://schemas.microsoft.com/office/drawing/2014/main" id="{D08A31B0-F32A-81A8-6D4B-4A9A685F1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34143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12</xdr:row>
      <xdr:rowOff>50800</xdr:rowOff>
    </xdr:from>
    <xdr:to>
      <xdr:col>3</xdr:col>
      <xdr:colOff>1468438</xdr:colOff>
      <xdr:row>12</xdr:row>
      <xdr:rowOff>1339850</xdr:rowOff>
    </xdr:to>
    <xdr:pic>
      <xdr:nvPicPr>
        <xdr:cNvPr id="23" name="imgCmp_11" descr="IDComposto=11|Ácido Bromídrico">
          <a:extLst>
            <a:ext uri="{FF2B5EF4-FFF2-40B4-BE49-F238E27FC236}">
              <a16:creationId xmlns:a16="http://schemas.microsoft.com/office/drawing/2014/main" id="{34AC89D7-3ED9-33EA-766F-2985645DD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48050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13</xdr:row>
      <xdr:rowOff>50800</xdr:rowOff>
    </xdr:from>
    <xdr:to>
      <xdr:col>3</xdr:col>
      <xdr:colOff>1468438</xdr:colOff>
      <xdr:row>13</xdr:row>
      <xdr:rowOff>1339850</xdr:rowOff>
    </xdr:to>
    <xdr:pic>
      <xdr:nvPicPr>
        <xdr:cNvPr id="25" name="imgCmp_12" descr="IDComposto=12|Ácido Iodídrico">
          <a:extLst>
            <a:ext uri="{FF2B5EF4-FFF2-40B4-BE49-F238E27FC236}">
              <a16:creationId xmlns:a16="http://schemas.microsoft.com/office/drawing/2014/main" id="{2F07EA46-E4D2-0404-8EAA-97D1F01BE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61956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14</xdr:row>
      <xdr:rowOff>50800</xdr:rowOff>
    </xdr:from>
    <xdr:to>
      <xdr:col>3</xdr:col>
      <xdr:colOff>1468438</xdr:colOff>
      <xdr:row>14</xdr:row>
      <xdr:rowOff>1339850</xdr:rowOff>
    </xdr:to>
    <xdr:pic>
      <xdr:nvPicPr>
        <xdr:cNvPr id="27" name="imgCmp_13" descr="IDComposto=13|Ácido Fluorídrico">
          <a:extLst>
            <a:ext uri="{FF2B5EF4-FFF2-40B4-BE49-F238E27FC236}">
              <a16:creationId xmlns:a16="http://schemas.microsoft.com/office/drawing/2014/main" id="{DAA80DE3-8F06-273A-5660-A5F339334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75863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15</xdr:row>
      <xdr:rowOff>50800</xdr:rowOff>
    </xdr:from>
    <xdr:to>
      <xdr:col>3</xdr:col>
      <xdr:colOff>1468438</xdr:colOff>
      <xdr:row>15</xdr:row>
      <xdr:rowOff>1339850</xdr:rowOff>
    </xdr:to>
    <xdr:pic>
      <xdr:nvPicPr>
        <xdr:cNvPr id="29" name="imgCmp_14" descr="IDComposto=14|Ácido Perclórico">
          <a:extLst>
            <a:ext uri="{FF2B5EF4-FFF2-40B4-BE49-F238E27FC236}">
              <a16:creationId xmlns:a16="http://schemas.microsoft.com/office/drawing/2014/main" id="{01D4CF3A-E0E0-22F3-09CC-25E7DDA78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189769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16</xdr:row>
      <xdr:rowOff>50800</xdr:rowOff>
    </xdr:from>
    <xdr:to>
      <xdr:col>3</xdr:col>
      <xdr:colOff>1468438</xdr:colOff>
      <xdr:row>16</xdr:row>
      <xdr:rowOff>1339850</xdr:rowOff>
    </xdr:to>
    <xdr:pic>
      <xdr:nvPicPr>
        <xdr:cNvPr id="31" name="imgCmp_15" descr="IDComposto=15|Ácido Carbônico">
          <a:extLst>
            <a:ext uri="{FF2B5EF4-FFF2-40B4-BE49-F238E27FC236}">
              <a16:creationId xmlns:a16="http://schemas.microsoft.com/office/drawing/2014/main" id="{AD7C17A8-F9A7-BB43-630E-18BDDE435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203676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17</xdr:row>
      <xdr:rowOff>50800</xdr:rowOff>
    </xdr:from>
    <xdr:to>
      <xdr:col>3</xdr:col>
      <xdr:colOff>1468438</xdr:colOff>
      <xdr:row>17</xdr:row>
      <xdr:rowOff>1339850</xdr:rowOff>
    </xdr:to>
    <xdr:pic>
      <xdr:nvPicPr>
        <xdr:cNvPr id="33" name="imgCmp_16" descr="IDComposto=16|Ácido Bórico">
          <a:extLst>
            <a:ext uri="{FF2B5EF4-FFF2-40B4-BE49-F238E27FC236}">
              <a16:creationId xmlns:a16="http://schemas.microsoft.com/office/drawing/2014/main" id="{CBF0E564-CCE8-C8EE-E851-43DB7B73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2175827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179388</xdr:colOff>
      <xdr:row>18</xdr:row>
      <xdr:rowOff>50800</xdr:rowOff>
    </xdr:from>
    <xdr:to>
      <xdr:col>3</xdr:col>
      <xdr:colOff>1468438</xdr:colOff>
      <xdr:row>18</xdr:row>
      <xdr:rowOff>1339850</xdr:rowOff>
    </xdr:to>
    <xdr:pic>
      <xdr:nvPicPr>
        <xdr:cNvPr id="35" name="imgCmp_17" descr="IDComposto=17|Ácido Hipocloroso">
          <a:extLst>
            <a:ext uri="{FF2B5EF4-FFF2-40B4-BE49-F238E27FC236}">
              <a16:creationId xmlns:a16="http://schemas.microsoft.com/office/drawing/2014/main" id="{649FCC39-1DC3-C6AC-7FA1-B8714F82A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6013" y="23148925"/>
          <a:ext cx="1289050" cy="1289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5</xdr:row>
      <xdr:rowOff>51064</xdr:rowOff>
    </xdr:from>
    <xdr:to>
      <xdr:col>3</xdr:col>
      <xdr:colOff>1597025</xdr:colOff>
      <xdr:row>5</xdr:row>
      <xdr:rowOff>1339585</xdr:rowOff>
    </xdr:to>
    <xdr:pic>
      <xdr:nvPicPr>
        <xdr:cNvPr id="37" name="imgCmp_4" descr="IDComposto=4|Ácido Nítrico">
          <a:extLst>
            <a:ext uri="{FF2B5EF4-FFF2-40B4-BE49-F238E27FC236}">
              <a16:creationId xmlns:a16="http://schemas.microsoft.com/office/drawing/2014/main" id="{F675540E-9502-4E4E-FEFB-4512E047C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1375" y="5280289"/>
          <a:ext cx="1546225" cy="1288521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51064</xdr:rowOff>
    </xdr:from>
    <xdr:to>
      <xdr:col>3</xdr:col>
      <xdr:colOff>1597025</xdr:colOff>
      <xdr:row>7</xdr:row>
      <xdr:rowOff>1339585</xdr:rowOff>
    </xdr:to>
    <xdr:pic>
      <xdr:nvPicPr>
        <xdr:cNvPr id="39" name="imgCmp_6" descr="IDComposto=6|Hidróxido de Amônio">
          <a:extLst>
            <a:ext uri="{FF2B5EF4-FFF2-40B4-BE49-F238E27FC236}">
              <a16:creationId xmlns:a16="http://schemas.microsoft.com/office/drawing/2014/main" id="{F9ADFE3A-2617-8C63-246B-CEB42C36C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1375" y="8061589"/>
          <a:ext cx="1546225" cy="12885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26974-9DC5-4741-AEED-4486186AA38C}">
  <sheetPr codeName="Planilha1"/>
  <dimension ref="A1:T19"/>
  <sheetViews>
    <sheetView zoomScale="50" zoomScaleNormal="50" workbookViewId="0">
      <selection activeCell="F4" sqref="F4"/>
    </sheetView>
  </sheetViews>
  <sheetFormatPr defaultRowHeight="15" x14ac:dyDescent="0.25"/>
  <cols>
    <col min="1" max="1" width="14.85546875" bestFit="1" customWidth="1"/>
    <col min="2" max="2" width="20.42578125" bestFit="1" customWidth="1"/>
    <col min="3" max="3" width="15" customWidth="1"/>
    <col min="4" max="4" width="26" bestFit="1" customWidth="1"/>
    <col min="5" max="5" width="29.5703125" bestFit="1" customWidth="1"/>
    <col min="6" max="6" width="27.28515625" bestFit="1" customWidth="1"/>
    <col min="7" max="7" width="29.7109375" customWidth="1"/>
    <col min="8" max="8" width="36.140625" bestFit="1" customWidth="1"/>
    <col min="9" max="9" width="23.5703125" customWidth="1"/>
    <col min="10" max="10" width="34.140625" bestFit="1" customWidth="1"/>
    <col min="11" max="11" width="33.28515625" bestFit="1" customWidth="1"/>
    <col min="12" max="12" width="19.140625" customWidth="1"/>
    <col min="13" max="13" width="13.7109375" bestFit="1" customWidth="1"/>
  </cols>
  <sheetData>
    <row r="1" spans="1:20" ht="28.5" x14ac:dyDescent="0.25">
      <c r="A1" s="42" t="s">
        <v>15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1"/>
      <c r="O1" s="2"/>
      <c r="P1" s="2"/>
    </row>
    <row r="2" spans="1:20" ht="61.5" x14ac:dyDescent="0.25">
      <c r="A2" s="31" t="s">
        <v>0</v>
      </c>
      <c r="B2" s="31" t="s">
        <v>48</v>
      </c>
      <c r="C2" s="31" t="s">
        <v>1</v>
      </c>
      <c r="D2" s="31" t="s">
        <v>47</v>
      </c>
      <c r="E2" s="31" t="s">
        <v>3</v>
      </c>
      <c r="F2" s="31" t="s">
        <v>49</v>
      </c>
      <c r="G2" s="32" t="s">
        <v>14</v>
      </c>
      <c r="H2" s="31" t="s">
        <v>51</v>
      </c>
      <c r="I2" s="31" t="s">
        <v>65</v>
      </c>
      <c r="J2" s="32" t="s">
        <v>66</v>
      </c>
      <c r="K2" s="32" t="s">
        <v>52</v>
      </c>
      <c r="L2" s="32" t="s">
        <v>70</v>
      </c>
      <c r="M2" s="33" t="s">
        <v>18</v>
      </c>
      <c r="N2" s="6"/>
      <c r="O2" s="5"/>
      <c r="P2" s="5"/>
    </row>
    <row r="3" spans="1:20" ht="99.95" customHeight="1" x14ac:dyDescent="0.35">
      <c r="A3" s="14">
        <v>46233</v>
      </c>
      <c r="B3" s="15">
        <v>1</v>
      </c>
      <c r="C3" s="16" t="s">
        <v>4</v>
      </c>
      <c r="D3" s="15">
        <v>1</v>
      </c>
      <c r="E3" s="15" t="str">
        <f>IFERROR(VLOOKUP(D3,Compostos!$A$3:$F$19,3,FALSE),"Não encontrado")</f>
        <v>Ácido Clorídrico</v>
      </c>
      <c r="F3" s="15">
        <f>INDEX(ReferênciaPH!$A$2:$A$18,MATCH(D3,ReferênciaPH!$B$2:$B$18,0))</f>
        <v>101</v>
      </c>
      <c r="G3" s="17">
        <f>VLOOKUP(Analises!F3,ReferênciaPH!$A$1:$G$18,4,FALSE)</f>
        <v>0.1</v>
      </c>
      <c r="H3" s="18">
        <v>25</v>
      </c>
      <c r="I3" s="18">
        <v>2</v>
      </c>
      <c r="J3" s="15" t="s">
        <v>67</v>
      </c>
      <c r="K3" s="18">
        <f>VLOOKUP(F3,ReferênciaPH!$A$1:$G$18,6,FALSE)</f>
        <v>1</v>
      </c>
      <c r="L3" s="18">
        <f>IF(AND(J3="Sim",ISNUMBER(I3),ISNUMBER(K3)),I3-K3,"")</f>
        <v>1</v>
      </c>
      <c r="M3" s="19" t="str">
        <f>IF(NOT(ISNUMBER(L3)),"Não aplicável",IF(L3&gt;0,"Acima do teórico",IF(L3&lt;0,"Abaixo do teórico","Igual ao teórico")))</f>
        <v>Acima do teórico</v>
      </c>
      <c r="N3" s="7"/>
      <c r="O3" s="8"/>
      <c r="P3" s="8"/>
      <c r="T3" s="3"/>
    </row>
    <row r="4" spans="1:20" ht="99.95" customHeight="1" x14ac:dyDescent="0.35">
      <c r="A4" s="14">
        <v>46233</v>
      </c>
      <c r="B4" s="15">
        <v>2</v>
      </c>
      <c r="C4" s="16" t="s">
        <v>5</v>
      </c>
      <c r="D4" s="15">
        <v>2</v>
      </c>
      <c r="E4" s="15" t="str">
        <f>IFERROR(VLOOKUP(D4,Compostos!$A$3:$F$19,3,FALSE),"Não encontrado")</f>
        <v>Ácido Sulfúrico</v>
      </c>
      <c r="F4" s="15">
        <f>INDEX(ReferênciaPH!$A$2:$A$18,MATCH(D4,ReferênciaPH!$B$2:$B$18,0))</f>
        <v>102</v>
      </c>
      <c r="G4" s="17">
        <f>VLOOKUP(Analises!F4,ReferênciaPH!$A$1:$G$18,4,FALSE)</f>
        <v>0.1</v>
      </c>
      <c r="H4" s="18">
        <v>25</v>
      </c>
      <c r="I4" s="18">
        <v>0.5</v>
      </c>
      <c r="J4" s="15" t="s">
        <v>67</v>
      </c>
      <c r="K4" s="18">
        <f>VLOOKUP(F4,ReferênciaPH!$A$1:$G$18,6,FALSE)</f>
        <v>0.96</v>
      </c>
      <c r="L4" s="18">
        <f t="shared" ref="L4:L19" si="0">IF(AND(J4="Sim",ISNUMBER(I4),ISNUMBER(K4)),I4-K4,"")</f>
        <v>-0.45999999999999996</v>
      </c>
      <c r="M4" s="19" t="str">
        <f t="shared" ref="M4:M19" si="1">IF(NOT(ISNUMBER(L4)),"Não aplicável",IF(L4&gt;0,"Acima do teórico",IF(L4&lt;0,"Abaixo do teórico","Igual ao teórico")))</f>
        <v>Abaixo do teórico</v>
      </c>
      <c r="N4" s="7"/>
      <c r="O4" s="8"/>
      <c r="P4" s="8"/>
      <c r="S4" s="3"/>
    </row>
    <row r="5" spans="1:20" ht="99.95" customHeight="1" x14ac:dyDescent="0.35">
      <c r="A5" s="14">
        <v>46233</v>
      </c>
      <c r="B5" s="15">
        <v>3</v>
      </c>
      <c r="C5" s="16" t="s">
        <v>6</v>
      </c>
      <c r="D5" s="15">
        <v>3</v>
      </c>
      <c r="E5" s="15" t="str">
        <f>IFERROR(VLOOKUP(D5,Compostos!$A$3:$F$19,3,FALSE),"Não encontrado")</f>
        <v>Hidróxido de Sódio</v>
      </c>
      <c r="F5" s="15">
        <f>INDEX(ReferênciaPH!$A$2:$A$18,MATCH(D5,ReferênciaPH!$B$2:$B$18,0))</f>
        <v>103</v>
      </c>
      <c r="G5" s="17">
        <f>VLOOKUP(Analises!F5,ReferênciaPH!$A$1:$G$18,4,FALSE)</f>
        <v>0.1</v>
      </c>
      <c r="H5" s="18">
        <v>25</v>
      </c>
      <c r="I5" s="18">
        <v>13</v>
      </c>
      <c r="J5" s="15" t="s">
        <v>67</v>
      </c>
      <c r="K5" s="18">
        <f>VLOOKUP(F5,ReferênciaPH!$A$1:$G$18,6,FALSE)</f>
        <v>13</v>
      </c>
      <c r="L5" s="18">
        <f t="shared" si="0"/>
        <v>0</v>
      </c>
      <c r="M5" s="19" t="str">
        <f t="shared" si="1"/>
        <v>Igual ao teórico</v>
      </c>
      <c r="N5" s="7"/>
      <c r="O5" s="8"/>
      <c r="P5" s="8"/>
    </row>
    <row r="6" spans="1:20" ht="99.95" customHeight="1" x14ac:dyDescent="0.35">
      <c r="A6" s="14">
        <v>46233</v>
      </c>
      <c r="B6" s="15">
        <v>4</v>
      </c>
      <c r="C6" s="16" t="s">
        <v>7</v>
      </c>
      <c r="D6" s="15">
        <v>4</v>
      </c>
      <c r="E6" s="15" t="str">
        <f>IFERROR(VLOOKUP(D6,Compostos!$A$3:$F$19,3,FALSE),"Não encontrado")</f>
        <v>Ácido Nítrico</v>
      </c>
      <c r="F6" s="15">
        <f>INDEX(ReferênciaPH!$A$2:$A$18,MATCH(D6,ReferênciaPH!$B$2:$B$18,0))</f>
        <v>104</v>
      </c>
      <c r="G6" s="17">
        <f>VLOOKUP(Analises!F6,ReferênciaPH!$A$1:$G$18,4,FALSE)</f>
        <v>0.1</v>
      </c>
      <c r="H6" s="18">
        <v>25</v>
      </c>
      <c r="I6" s="18">
        <v>1</v>
      </c>
      <c r="J6" s="15" t="s">
        <v>67</v>
      </c>
      <c r="K6" s="18">
        <f>VLOOKUP(F6,ReferênciaPH!$A$1:$G$18,6,FALSE)</f>
        <v>1</v>
      </c>
      <c r="L6" s="18">
        <f t="shared" si="0"/>
        <v>0</v>
      </c>
      <c r="M6" s="19" t="str">
        <f t="shared" si="1"/>
        <v>Igual ao teórico</v>
      </c>
      <c r="N6" s="7"/>
      <c r="O6" s="8"/>
      <c r="P6" s="8"/>
    </row>
    <row r="7" spans="1:20" ht="99.95" customHeight="1" x14ac:dyDescent="0.35">
      <c r="A7" s="14">
        <v>46233</v>
      </c>
      <c r="B7" s="15">
        <v>5</v>
      </c>
      <c r="C7" s="16" t="s">
        <v>8</v>
      </c>
      <c r="D7" s="15">
        <v>5</v>
      </c>
      <c r="E7" s="15" t="str">
        <f>IFERROR(VLOOKUP(D7,Compostos!$A$3:$F$19,3,FALSE),"Não encontrado")</f>
        <v>Amônia</v>
      </c>
      <c r="F7" s="15">
        <f>INDEX(ReferênciaPH!$A$2:$A$18,MATCH(D7,ReferênciaPH!$B$2:$B$18,0))</f>
        <v>105</v>
      </c>
      <c r="G7" s="17">
        <f>VLOOKUP(Analises!F7,ReferênciaPH!$A$1:$G$18,4,FALSE)</f>
        <v>0.1</v>
      </c>
      <c r="H7" s="18">
        <v>25</v>
      </c>
      <c r="I7" s="18">
        <v>10</v>
      </c>
      <c r="J7" s="15" t="s">
        <v>67</v>
      </c>
      <c r="K7" s="18">
        <f>VLOOKUP(F7,ReferênciaPH!$A$1:$G$18,6,FALSE)</f>
        <v>11.12</v>
      </c>
      <c r="L7" s="18">
        <f t="shared" si="0"/>
        <v>-1.1199999999999992</v>
      </c>
      <c r="M7" s="19" t="str">
        <f t="shared" si="1"/>
        <v>Abaixo do teórico</v>
      </c>
      <c r="N7" s="7"/>
      <c r="O7" s="8"/>
      <c r="P7" s="8"/>
    </row>
    <row r="8" spans="1:20" ht="99.95" customHeight="1" x14ac:dyDescent="0.35">
      <c r="A8" s="14">
        <v>46233</v>
      </c>
      <c r="B8" s="15">
        <v>6</v>
      </c>
      <c r="C8" s="16" t="s">
        <v>9</v>
      </c>
      <c r="D8" s="15">
        <v>6</v>
      </c>
      <c r="E8" s="15" t="str">
        <f>IFERROR(VLOOKUP(D8,Compostos!$A$3:$F$19,3,FALSE),"Não encontrado")</f>
        <v>Hidróxido de Amônio</v>
      </c>
      <c r="F8" s="15">
        <f>INDEX(ReferênciaPH!$A$2:$A$18,MATCH(D8,ReferênciaPH!$B$2:$B$18,0))</f>
        <v>106</v>
      </c>
      <c r="G8" s="17">
        <f>VLOOKUP(Analises!F8,ReferênciaPH!$A$1:$G$18,4,FALSE)</f>
        <v>0.1</v>
      </c>
      <c r="H8" s="18">
        <v>25</v>
      </c>
      <c r="I8" s="18">
        <v>11</v>
      </c>
      <c r="J8" s="15" t="s">
        <v>67</v>
      </c>
      <c r="K8" s="18">
        <f>VLOOKUP(F8,ReferênciaPH!$A$1:$G$18,6,FALSE)</f>
        <v>11.12</v>
      </c>
      <c r="L8" s="18">
        <f t="shared" si="0"/>
        <v>-0.11999999999999922</v>
      </c>
      <c r="M8" s="19" t="str">
        <f t="shared" si="1"/>
        <v>Abaixo do teórico</v>
      </c>
      <c r="N8" s="7"/>
      <c r="O8" s="8"/>
      <c r="P8" s="8"/>
    </row>
    <row r="9" spans="1:20" ht="99.95" customHeight="1" x14ac:dyDescent="0.35">
      <c r="A9" s="14">
        <v>46233</v>
      </c>
      <c r="B9" s="15">
        <v>7</v>
      </c>
      <c r="C9" s="16" t="s">
        <v>10</v>
      </c>
      <c r="D9" s="15">
        <v>7</v>
      </c>
      <c r="E9" s="15" t="str">
        <f>IFERROR(VLOOKUP(D9,Compostos!$A$3:$F$19,3,FALSE),"Não encontrado")</f>
        <v>Cloreto de Sódio</v>
      </c>
      <c r="F9" s="15">
        <f>INDEX(ReferênciaPH!$A$2:$A$18,MATCH(D9,ReferênciaPH!$B$2:$B$18,0))</f>
        <v>107</v>
      </c>
      <c r="G9" s="17">
        <f>VLOOKUP(Analises!F9,ReferênciaPH!$A$1:$G$18,4,FALSE)</f>
        <v>0.1</v>
      </c>
      <c r="H9" s="18">
        <v>25</v>
      </c>
      <c r="I9" s="18">
        <v>7</v>
      </c>
      <c r="J9" s="15" t="s">
        <v>67</v>
      </c>
      <c r="K9" s="18">
        <f>VLOOKUP(F9,ReferênciaPH!$A$1:$G$18,6,FALSE)</f>
        <v>7</v>
      </c>
      <c r="L9" s="18">
        <f t="shared" si="0"/>
        <v>0</v>
      </c>
      <c r="M9" s="19" t="str">
        <f t="shared" si="1"/>
        <v>Igual ao teórico</v>
      </c>
      <c r="N9" s="7"/>
      <c r="O9" s="8"/>
      <c r="P9" s="8"/>
    </row>
    <row r="10" spans="1:20" ht="99.95" customHeight="1" x14ac:dyDescent="0.35">
      <c r="A10" s="14">
        <v>46233</v>
      </c>
      <c r="B10" s="15">
        <v>8</v>
      </c>
      <c r="C10" s="16" t="s">
        <v>11</v>
      </c>
      <c r="D10" s="15">
        <v>8</v>
      </c>
      <c r="E10" s="15" t="str">
        <f>IFERROR(VLOOKUP(D10,Compostos!$A$3:$F$19,3,FALSE),"Não encontrado")</f>
        <v>Cloreto de Potássio</v>
      </c>
      <c r="F10" s="15">
        <f>INDEX(ReferênciaPH!$A$2:$A$18,MATCH(D10,ReferênciaPH!$B$2:$B$18,0))</f>
        <v>108</v>
      </c>
      <c r="G10" s="17">
        <f>VLOOKUP(Analises!F10,ReferênciaPH!$A$1:$G$18,4,FALSE)</f>
        <v>0.1</v>
      </c>
      <c r="H10" s="18">
        <v>25</v>
      </c>
      <c r="I10" s="18">
        <v>7</v>
      </c>
      <c r="J10" s="15" t="s">
        <v>67</v>
      </c>
      <c r="K10" s="18">
        <f>VLOOKUP(F10,ReferênciaPH!$A$1:$G$18,6,FALSE)</f>
        <v>7</v>
      </c>
      <c r="L10" s="18">
        <f t="shared" si="0"/>
        <v>0</v>
      </c>
      <c r="M10" s="19" t="str">
        <f t="shared" si="1"/>
        <v>Igual ao teórico</v>
      </c>
      <c r="N10" s="7"/>
      <c r="O10" s="8"/>
      <c r="P10" s="8"/>
    </row>
    <row r="11" spans="1:20" ht="99.95" customHeight="1" x14ac:dyDescent="0.35">
      <c r="A11" s="14">
        <v>46233</v>
      </c>
      <c r="B11" s="15">
        <v>9</v>
      </c>
      <c r="C11" s="16" t="s">
        <v>12</v>
      </c>
      <c r="D11" s="15">
        <v>9</v>
      </c>
      <c r="E11" s="15" t="str">
        <f>IFERROR(VLOOKUP(D11,Compostos!$A$3:$F$19,3,FALSE),"Não encontrado")</f>
        <v>Hidróxido de Cálcio</v>
      </c>
      <c r="F11" s="15">
        <f>INDEX(ReferênciaPH!$A$2:$A$18,MATCH(D11,ReferênciaPH!$B$2:$B$18,0))</f>
        <v>109</v>
      </c>
      <c r="G11" s="17">
        <f>VLOOKUP(Analises!F11,ReferênciaPH!$A$1:$G$18,4,FALSE)</f>
        <v>0.1</v>
      </c>
      <c r="H11" s="18">
        <v>25</v>
      </c>
      <c r="I11" s="15">
        <v>12.4</v>
      </c>
      <c r="J11" s="15" t="s">
        <v>68</v>
      </c>
      <c r="K11" s="18" t="str">
        <f>VLOOKUP(F11,ReferênciaPH!$A$1:$G$18,6,FALSE)</f>
        <v>Condição precisa ser revista</v>
      </c>
      <c r="L11" s="18" t="str">
        <f>IF(AND(J11="Sim",ISNUMBER(I11),ISNUMBER(K11)),I11-K11,"")</f>
        <v/>
      </c>
      <c r="M11" s="19" t="str">
        <f t="shared" si="1"/>
        <v>Não aplicável</v>
      </c>
      <c r="N11" s="7"/>
      <c r="O11" s="8"/>
      <c r="P11" s="8"/>
    </row>
    <row r="12" spans="1:20" ht="99.95" customHeight="1" x14ac:dyDescent="0.35">
      <c r="A12" s="14">
        <v>46233</v>
      </c>
      <c r="B12" s="15">
        <v>10</v>
      </c>
      <c r="C12" s="16" t="s">
        <v>13</v>
      </c>
      <c r="D12" s="15">
        <v>10</v>
      </c>
      <c r="E12" s="15" t="str">
        <f>IFERROR(VLOOKUP(D12,Compostos!$A$3:$F$19,3,FALSE),"Não encontrado")</f>
        <v>Cloreto de Amônio</v>
      </c>
      <c r="F12" s="15">
        <f>INDEX(ReferênciaPH!$A$2:$A$18,MATCH(D12,ReferênciaPH!$B$2:$B$18,0))</f>
        <v>110</v>
      </c>
      <c r="G12" s="17">
        <f>VLOOKUP(Analises!F12,ReferênciaPH!$A$1:$G$18,4,FALSE)</f>
        <v>0.1</v>
      </c>
      <c r="H12" s="18">
        <v>25</v>
      </c>
      <c r="I12" s="18">
        <v>4.5</v>
      </c>
      <c r="J12" s="15" t="s">
        <v>67</v>
      </c>
      <c r="K12" s="18">
        <f>VLOOKUP(F12,ReferênciaPH!$A$1:$G$18,6,FALSE)</f>
        <v>5.13</v>
      </c>
      <c r="L12" s="18">
        <f t="shared" si="0"/>
        <v>-0.62999999999999989</v>
      </c>
      <c r="M12" s="19" t="str">
        <f t="shared" si="1"/>
        <v>Abaixo do teórico</v>
      </c>
      <c r="N12" s="7"/>
      <c r="O12" s="8"/>
      <c r="P12" s="8"/>
    </row>
    <row r="13" spans="1:20" ht="99.95" customHeight="1" x14ac:dyDescent="0.35">
      <c r="A13" s="20">
        <v>46235</v>
      </c>
      <c r="B13" s="21">
        <v>11</v>
      </c>
      <c r="C13" s="22" t="s">
        <v>16</v>
      </c>
      <c r="D13" s="15">
        <v>11</v>
      </c>
      <c r="E13" s="15" t="str">
        <f>IFERROR(VLOOKUP(D13,Compostos!$A$3:$F$19,3,FALSE),"Não encontrado")</f>
        <v>Ácido Bromídrico</v>
      </c>
      <c r="F13" s="15">
        <f>INDEX(ReferênciaPH!$A$2:$A$18,MATCH(D13,ReferênciaPH!$B$2:$B$18,0))</f>
        <v>111</v>
      </c>
      <c r="G13" s="17">
        <f>VLOOKUP(Analises!F13,ReferênciaPH!$A$1:$G$18,4,FALSE)</f>
        <v>0.1</v>
      </c>
      <c r="H13" s="18">
        <v>25</v>
      </c>
      <c r="I13" s="23">
        <v>3</v>
      </c>
      <c r="J13" s="15" t="s">
        <v>67</v>
      </c>
      <c r="K13" s="18">
        <f>VLOOKUP(F13,ReferênciaPH!$A$1:$G$18,6,FALSE)</f>
        <v>1</v>
      </c>
      <c r="L13" s="18">
        <f t="shared" si="0"/>
        <v>2</v>
      </c>
      <c r="M13" s="19" t="str">
        <f t="shared" si="1"/>
        <v>Acima do teórico</v>
      </c>
      <c r="N13" s="7"/>
      <c r="O13" s="8"/>
      <c r="P13" s="8"/>
    </row>
    <row r="14" spans="1:20" ht="99.95" customHeight="1" x14ac:dyDescent="0.35">
      <c r="A14" s="14">
        <v>46236</v>
      </c>
      <c r="B14" s="15">
        <v>12</v>
      </c>
      <c r="C14" s="16" t="s">
        <v>17</v>
      </c>
      <c r="D14" s="15">
        <v>12</v>
      </c>
      <c r="E14" s="15" t="str">
        <f>IFERROR(VLOOKUP(D14,Compostos!$A$3:$F$19,3,FALSE),"Não encontrado")</f>
        <v>Ácido Iodídrico</v>
      </c>
      <c r="F14" s="15">
        <f>INDEX(ReferênciaPH!$A$2:$A$18,MATCH(D14,ReferênciaPH!$B$2:$B$18,0))</f>
        <v>112</v>
      </c>
      <c r="G14" s="17">
        <f>VLOOKUP(Analises!F14,ReferênciaPH!$A$1:$G$18,4,FALSE)</f>
        <v>0.1</v>
      </c>
      <c r="H14" s="18">
        <v>25</v>
      </c>
      <c r="I14" s="15">
        <v>3</v>
      </c>
      <c r="J14" s="15" t="s">
        <v>67</v>
      </c>
      <c r="K14" s="18">
        <f>VLOOKUP(F14,ReferênciaPH!$A$1:$G$18,6,FALSE)</f>
        <v>1</v>
      </c>
      <c r="L14" s="18">
        <f t="shared" si="0"/>
        <v>2</v>
      </c>
      <c r="M14" s="19" t="str">
        <f t="shared" si="1"/>
        <v>Acima do teórico</v>
      </c>
      <c r="N14" s="7"/>
      <c r="O14" s="9"/>
      <c r="P14" s="8"/>
    </row>
    <row r="15" spans="1:20" ht="99.95" customHeight="1" x14ac:dyDescent="0.35">
      <c r="A15" s="14">
        <v>46241</v>
      </c>
      <c r="B15" s="15">
        <v>13</v>
      </c>
      <c r="C15" s="16" t="s">
        <v>35</v>
      </c>
      <c r="D15" s="15">
        <v>13</v>
      </c>
      <c r="E15" s="15" t="str">
        <f>IFERROR(VLOOKUP(D15,Compostos!$A$3:$F$19,3,FALSE),"Não encontrado")</f>
        <v>Ácido Fluorídrico</v>
      </c>
      <c r="F15" s="15">
        <f>INDEX(ReferênciaPH!$A$2:$A$18,MATCH(D15,ReferênciaPH!$B$2:$B$18,0))</f>
        <v>113</v>
      </c>
      <c r="G15" s="17">
        <f>VLOOKUP(Analises!F15,ReferênciaPH!$A$1:$G$18,4,FALSE)</f>
        <v>0.1</v>
      </c>
      <c r="H15" s="18">
        <v>25</v>
      </c>
      <c r="I15" s="15">
        <v>3</v>
      </c>
      <c r="J15" s="15" t="s">
        <v>67</v>
      </c>
      <c r="K15" s="18">
        <f>VLOOKUP(F15,ReferênciaPH!$A$1:$G$18,6,FALSE)</f>
        <v>2.11</v>
      </c>
      <c r="L15" s="18">
        <f t="shared" si="0"/>
        <v>0.89000000000000012</v>
      </c>
      <c r="M15" s="19" t="str">
        <f t="shared" si="1"/>
        <v>Acima do teórico</v>
      </c>
      <c r="N15" s="7"/>
      <c r="O15" s="9"/>
      <c r="P15" s="8"/>
    </row>
    <row r="16" spans="1:20" ht="99.95" customHeight="1" x14ac:dyDescent="0.35">
      <c r="A16" s="14">
        <v>46241</v>
      </c>
      <c r="B16" s="15">
        <v>14</v>
      </c>
      <c r="C16" s="16" t="s">
        <v>36</v>
      </c>
      <c r="D16" s="15">
        <v>14</v>
      </c>
      <c r="E16" s="15" t="str">
        <f>IFERROR(VLOOKUP(D16,Compostos!$A$3:$F$19,3,FALSE),"Não encontrado")</f>
        <v>Ácido Perclórico</v>
      </c>
      <c r="F16" s="15">
        <f>INDEX(ReferênciaPH!$A$2:$A$18,MATCH(D16,ReferênciaPH!$B$2:$B$18,0))</f>
        <v>114</v>
      </c>
      <c r="G16" s="17">
        <f>VLOOKUP(Analises!F16,ReferênciaPH!$A$1:$G$18,4,FALSE)</f>
        <v>0.1</v>
      </c>
      <c r="H16" s="18">
        <v>25</v>
      </c>
      <c r="I16" s="15">
        <v>1</v>
      </c>
      <c r="J16" s="15" t="s">
        <v>67</v>
      </c>
      <c r="K16" s="18">
        <f>VLOOKUP(F16,ReferênciaPH!$A$1:$G$18,6,FALSE)</f>
        <v>1</v>
      </c>
      <c r="L16" s="18">
        <f t="shared" si="0"/>
        <v>0</v>
      </c>
      <c r="M16" s="19" t="str">
        <f t="shared" si="1"/>
        <v>Igual ao teórico</v>
      </c>
      <c r="N16" s="7"/>
      <c r="O16" s="9"/>
      <c r="P16" s="8"/>
    </row>
    <row r="17" spans="1:16" ht="99.95" customHeight="1" x14ac:dyDescent="0.35">
      <c r="A17" s="14">
        <v>46241</v>
      </c>
      <c r="B17" s="15">
        <v>15</v>
      </c>
      <c r="C17" s="16" t="s">
        <v>37</v>
      </c>
      <c r="D17" s="15">
        <v>15</v>
      </c>
      <c r="E17" s="15" t="str">
        <f>IFERROR(VLOOKUP(D17,Compostos!$A$3:$F$19,3,FALSE),"Não encontrado")</f>
        <v>Ácido Carbônico</v>
      </c>
      <c r="F17" s="15">
        <f>INDEX(ReferênciaPH!$A$2:$A$18,MATCH(D17,ReferênciaPH!$B$2:$B$18,0))</f>
        <v>115</v>
      </c>
      <c r="G17" s="17">
        <f>VLOOKUP(Analises!F17,ReferênciaPH!$A$1:$G$18,4,FALSE)</f>
        <v>0.1</v>
      </c>
      <c r="H17" s="18">
        <v>25</v>
      </c>
      <c r="I17" s="15">
        <v>6</v>
      </c>
      <c r="J17" s="15" t="s">
        <v>69</v>
      </c>
      <c r="K17" s="18" t="str">
        <f>VLOOKUP(F17,ReferênciaPH!$A$1:$G$18,6,FALSE)</f>
        <v>Condição precisa ser definida</v>
      </c>
      <c r="L17" s="18" t="str">
        <f>IF(AND(J17="Sim",ISNUMBER(I17),ISNUMBER(K17)),I17-K17,"")</f>
        <v/>
      </c>
      <c r="M17" s="19" t="str">
        <f t="shared" si="1"/>
        <v>Não aplicável</v>
      </c>
      <c r="N17" s="7"/>
      <c r="O17" s="9"/>
      <c r="P17" s="8"/>
    </row>
    <row r="18" spans="1:16" ht="99.95" customHeight="1" x14ac:dyDescent="0.35">
      <c r="A18" s="14">
        <v>46244</v>
      </c>
      <c r="B18" s="15">
        <v>16</v>
      </c>
      <c r="C18" s="16" t="s">
        <v>38</v>
      </c>
      <c r="D18" s="15">
        <v>16</v>
      </c>
      <c r="E18" s="15" t="str">
        <f>IFERROR(VLOOKUP(D18,Compostos!$A$3:$F$19,3,FALSE),"Não encontrado")</f>
        <v>Ácido Bórico</v>
      </c>
      <c r="F18" s="15">
        <f>INDEX(ReferênciaPH!$A$2:$A$18,MATCH(D18,ReferênciaPH!$B$2:$B$18,0))</f>
        <v>116</v>
      </c>
      <c r="G18" s="17">
        <f>VLOOKUP(Analises!F18,ReferênciaPH!$A$1:$G$18,4,FALSE)</f>
        <v>0.1</v>
      </c>
      <c r="H18" s="18">
        <v>25</v>
      </c>
      <c r="I18" s="15">
        <v>5</v>
      </c>
      <c r="J18" s="15" t="s">
        <v>67</v>
      </c>
      <c r="K18" s="18">
        <f>VLOOKUP(F18,ReferênciaPH!$A$1:$G$18,6,FALSE)</f>
        <v>5.13</v>
      </c>
      <c r="L18" s="18">
        <f t="shared" si="0"/>
        <v>-0.12999999999999989</v>
      </c>
      <c r="M18" s="19" t="str">
        <f t="shared" si="1"/>
        <v>Abaixo do teórico</v>
      </c>
      <c r="N18" s="7"/>
      <c r="O18" s="9"/>
      <c r="P18" s="8"/>
    </row>
    <row r="19" spans="1:16" ht="99.95" customHeight="1" x14ac:dyDescent="0.35">
      <c r="A19" s="14">
        <v>46244</v>
      </c>
      <c r="B19" s="15">
        <v>17</v>
      </c>
      <c r="C19" s="16" t="s">
        <v>39</v>
      </c>
      <c r="D19" s="15">
        <v>17</v>
      </c>
      <c r="E19" s="15" t="str">
        <f>IFERROR(VLOOKUP(D19,Compostos!$A$3:$F$19,3,FALSE),"Não encontrado")</f>
        <v>Ácido Hipocloroso</v>
      </c>
      <c r="F19" s="15">
        <f>INDEX(ReferênciaPH!$A$2:$A$18,MATCH(D19,ReferênciaPH!$B$2:$B$18,0))</f>
        <v>117</v>
      </c>
      <c r="G19" s="17">
        <f>VLOOKUP(Analises!F19,ReferênciaPH!$A$1:$G$18,4,FALSE)</f>
        <v>0.1</v>
      </c>
      <c r="H19" s="18">
        <v>25</v>
      </c>
      <c r="I19" s="15">
        <v>4</v>
      </c>
      <c r="J19" s="15" t="s">
        <v>67</v>
      </c>
      <c r="K19" s="18">
        <f>VLOOKUP(F19,ReferênciaPH!$A$1:$G$18,6,FALSE)</f>
        <v>4.2699999999999996</v>
      </c>
      <c r="L19" s="18">
        <f t="shared" si="0"/>
        <v>-0.26999999999999957</v>
      </c>
      <c r="M19" s="19" t="str">
        <f t="shared" si="1"/>
        <v>Abaixo do teórico</v>
      </c>
      <c r="N19" s="7"/>
      <c r="O19" s="9"/>
      <c r="P19" s="8"/>
    </row>
  </sheetData>
  <mergeCells count="1">
    <mergeCell ref="A1:M1"/>
  </mergeCells>
  <phoneticPr fontId="2" type="noConversion"/>
  <conditionalFormatting sqref="N3:N19">
    <cfRule type="containsText" dxfId="7" priority="8" operator="containsText" text="Vermelho">
      <formula>NOT(ISERROR(SEARCH("Vermelho",N3)))</formula>
    </cfRule>
  </conditionalFormatting>
  <conditionalFormatting sqref="N5:N19">
    <cfRule type="containsText" dxfId="6" priority="7" operator="containsText" text="Roxo">
      <formula>NOT(ISERROR(SEARCH("Roxo",N5)))</formula>
    </cfRule>
  </conditionalFormatting>
  <conditionalFormatting sqref="N7:N19">
    <cfRule type="containsText" dxfId="5" priority="6" operator="containsText" text="Azul">
      <formula>NOT(ISERROR(SEARCH("Azul",N7)))</formula>
    </cfRule>
  </conditionalFormatting>
  <conditionalFormatting sqref="N9:N19">
    <cfRule type="containsText" dxfId="4" priority="5" operator="containsText" text="Verde">
      <formula>NOT(ISERROR(SEARCH("Verde",N9)))</formula>
    </cfRule>
  </conditionalFormatting>
  <conditionalFormatting sqref="N12:N19">
    <cfRule type="containsText" dxfId="3" priority="4" operator="containsText" text="Amarelo">
      <formula>NOT(ISERROR(SEARCH("Amarelo",N12)))</formula>
    </cfRule>
  </conditionalFormatting>
  <conditionalFormatting sqref="L3:L19">
    <cfRule type="containsText" dxfId="2" priority="3" operator="containsText" text="Conforme">
      <formula>NOT(ISERROR(SEARCH("Conforme",L3)))</formula>
    </cfRule>
  </conditionalFormatting>
  <conditionalFormatting sqref="L4:L19">
    <cfRule type="containsText" dxfId="1" priority="2" operator="containsText" text="Fora de Conformidade">
      <formula>NOT(ISERROR(SEARCH("Fora de Conformidade",L4)))</formula>
    </cfRule>
  </conditionalFormatting>
  <conditionalFormatting sqref="N15:N19">
    <cfRule type="containsText" dxfId="0" priority="1" operator="containsText" text="Laranja">
      <formula>NOT(ISERROR(SEARCH("Laranja",N15)))</formula>
    </cfRule>
  </conditionalFormatting>
  <dataValidations count="1">
    <dataValidation type="list" sqref="D3:D19" xr:uid="{00000000-0002-0000-0000-000000000000}">
      <formula1>INDIRECT("Compostos!$A$3:$A$19")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C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1908-0ED6-402F-86C5-5646547CB2F7}">
  <sheetPr codeName="Planilha2"/>
  <dimension ref="A1:G19"/>
  <sheetViews>
    <sheetView topLeftCell="A14" zoomScale="60" zoomScaleNormal="60" workbookViewId="0">
      <selection activeCell="K17" sqref="K17"/>
    </sheetView>
  </sheetViews>
  <sheetFormatPr defaultRowHeight="15" x14ac:dyDescent="0.25"/>
  <cols>
    <col min="1" max="1" width="25.85546875" bestFit="1" customWidth="1"/>
    <col min="2" max="2" width="17.7109375" bestFit="1" customWidth="1"/>
    <col min="3" max="3" width="25.42578125" bestFit="1" customWidth="1"/>
    <col min="4" max="4" width="24.7109375" customWidth="1"/>
    <col min="5" max="5" width="18.7109375" customWidth="1"/>
    <col min="6" max="6" width="30" customWidth="1"/>
    <col min="7" max="7" width="28" customWidth="1"/>
  </cols>
  <sheetData>
    <row r="1" spans="1:7" ht="26.25" x14ac:dyDescent="0.25">
      <c r="A1" s="42" t="s">
        <v>19</v>
      </c>
      <c r="B1" s="42"/>
      <c r="C1" s="42"/>
      <c r="D1" s="42"/>
      <c r="E1" s="42"/>
      <c r="F1" s="10"/>
    </row>
    <row r="2" spans="1:7" ht="92.25" x14ac:dyDescent="0.25">
      <c r="A2" s="32" t="s">
        <v>47</v>
      </c>
      <c r="B2" s="32" t="s">
        <v>40</v>
      </c>
      <c r="C2" s="32" t="s">
        <v>3</v>
      </c>
      <c r="D2" s="31" t="s">
        <v>41</v>
      </c>
      <c r="E2" s="32" t="s">
        <v>42</v>
      </c>
      <c r="F2" s="35" t="s">
        <v>87</v>
      </c>
      <c r="G2" s="36" t="s">
        <v>88</v>
      </c>
    </row>
    <row r="3" spans="1:7" ht="74.25" customHeight="1" x14ac:dyDescent="0.25">
      <c r="A3" s="24">
        <v>1</v>
      </c>
      <c r="B3" s="24" t="s">
        <v>74</v>
      </c>
      <c r="C3" s="24" t="s">
        <v>71</v>
      </c>
      <c r="D3" s="4"/>
      <c r="E3" s="25">
        <v>36.46</v>
      </c>
      <c r="F3" s="37" t="s">
        <v>74</v>
      </c>
      <c r="G3" s="37" t="s">
        <v>89</v>
      </c>
    </row>
    <row r="4" spans="1:7" ht="110.1" customHeight="1" x14ac:dyDescent="0.25">
      <c r="A4" s="24">
        <v>2</v>
      </c>
      <c r="B4" s="24" t="s">
        <v>78</v>
      </c>
      <c r="C4" s="24" t="s">
        <v>73</v>
      </c>
      <c r="D4" s="26"/>
      <c r="E4" s="25">
        <v>98.08</v>
      </c>
      <c r="F4" s="37" t="s">
        <v>90</v>
      </c>
      <c r="G4" s="37" t="s">
        <v>91</v>
      </c>
    </row>
    <row r="5" spans="1:7" ht="110.1" customHeight="1" x14ac:dyDescent="0.25">
      <c r="A5" s="24">
        <v>3</v>
      </c>
      <c r="B5" s="24" t="s">
        <v>20</v>
      </c>
      <c r="C5" s="24" t="s">
        <v>21</v>
      </c>
      <c r="D5" s="27"/>
      <c r="E5" s="25">
        <v>40</v>
      </c>
      <c r="F5" s="37" t="s">
        <v>20</v>
      </c>
      <c r="G5" s="37" t="s">
        <v>92</v>
      </c>
    </row>
    <row r="6" spans="1:7" ht="110.1" customHeight="1" x14ac:dyDescent="0.25">
      <c r="A6" s="24">
        <v>4</v>
      </c>
      <c r="B6" s="24" t="s">
        <v>79</v>
      </c>
      <c r="C6" s="24" t="s">
        <v>22</v>
      </c>
      <c r="D6" s="26"/>
      <c r="E6" s="25">
        <v>63.01</v>
      </c>
      <c r="F6" s="37" t="s">
        <v>93</v>
      </c>
      <c r="G6" s="37" t="s">
        <v>94</v>
      </c>
    </row>
    <row r="7" spans="1:7" ht="110.1" customHeight="1" x14ac:dyDescent="0.25">
      <c r="A7" s="24">
        <v>5</v>
      </c>
      <c r="B7" s="24" t="s">
        <v>80</v>
      </c>
      <c r="C7" s="24" t="s">
        <v>23</v>
      </c>
      <c r="D7" s="28"/>
      <c r="E7" s="25">
        <v>17.03</v>
      </c>
      <c r="F7" s="37" t="s">
        <v>95</v>
      </c>
      <c r="G7" s="37" t="s">
        <v>96</v>
      </c>
    </row>
    <row r="8" spans="1:7" ht="110.1" customHeight="1" x14ac:dyDescent="0.25">
      <c r="A8" s="24">
        <v>6</v>
      </c>
      <c r="B8" s="24" t="s">
        <v>81</v>
      </c>
      <c r="C8" s="24" t="s">
        <v>24</v>
      </c>
      <c r="D8" s="28"/>
      <c r="E8" s="25">
        <v>35.049999999999997</v>
      </c>
      <c r="F8" s="37" t="s">
        <v>97</v>
      </c>
      <c r="G8" s="37" t="s">
        <v>98</v>
      </c>
    </row>
    <row r="9" spans="1:7" ht="110.1" customHeight="1" x14ac:dyDescent="0.25">
      <c r="A9" s="24">
        <v>7</v>
      </c>
      <c r="B9" s="24" t="s">
        <v>25</v>
      </c>
      <c r="C9" s="24" t="s">
        <v>26</v>
      </c>
      <c r="D9" s="28"/>
      <c r="E9" s="25">
        <v>58.44</v>
      </c>
      <c r="F9" s="37" t="s">
        <v>25</v>
      </c>
      <c r="G9" s="37" t="s">
        <v>99</v>
      </c>
    </row>
    <row r="10" spans="1:7" ht="110.1" customHeight="1" x14ac:dyDescent="0.25">
      <c r="A10" s="24">
        <v>8</v>
      </c>
      <c r="B10" s="24" t="s">
        <v>75</v>
      </c>
      <c r="C10" s="24" t="s">
        <v>27</v>
      </c>
      <c r="D10" s="4"/>
      <c r="E10" s="25">
        <v>74.55</v>
      </c>
      <c r="F10" s="37" t="s">
        <v>75</v>
      </c>
      <c r="G10" s="37" t="s">
        <v>100</v>
      </c>
    </row>
    <row r="11" spans="1:7" ht="110.1" customHeight="1" x14ac:dyDescent="0.25">
      <c r="A11" s="24">
        <v>9</v>
      </c>
      <c r="B11" s="24" t="s">
        <v>82</v>
      </c>
      <c r="C11" s="24" t="s">
        <v>28</v>
      </c>
      <c r="D11" s="4"/>
      <c r="E11" s="25">
        <v>74.09</v>
      </c>
      <c r="F11" s="37" t="s">
        <v>101</v>
      </c>
      <c r="G11" s="37" t="s">
        <v>102</v>
      </c>
    </row>
    <row r="12" spans="1:7" ht="110.1" customHeight="1" x14ac:dyDescent="0.25">
      <c r="A12" s="24">
        <v>10</v>
      </c>
      <c r="B12" s="24" t="s">
        <v>76</v>
      </c>
      <c r="C12" s="24" t="s">
        <v>29</v>
      </c>
      <c r="D12" s="4"/>
      <c r="E12" s="25">
        <v>53.49</v>
      </c>
      <c r="F12" s="37" t="s">
        <v>76</v>
      </c>
      <c r="G12" s="37" t="s">
        <v>103</v>
      </c>
    </row>
    <row r="13" spans="1:7" ht="110.1" customHeight="1" x14ac:dyDescent="0.25">
      <c r="A13" s="24">
        <v>11</v>
      </c>
      <c r="B13" s="24" t="s">
        <v>30</v>
      </c>
      <c r="C13" s="24" t="s">
        <v>31</v>
      </c>
      <c r="D13" s="4"/>
      <c r="E13" s="25">
        <v>80.91</v>
      </c>
      <c r="F13" s="37" t="s">
        <v>30</v>
      </c>
      <c r="G13" s="37" t="s">
        <v>104</v>
      </c>
    </row>
    <row r="14" spans="1:7" ht="110.1" customHeight="1" x14ac:dyDescent="0.25">
      <c r="A14" s="24">
        <v>12</v>
      </c>
      <c r="B14" s="24" t="s">
        <v>77</v>
      </c>
      <c r="C14" s="24" t="s">
        <v>32</v>
      </c>
      <c r="D14" s="4"/>
      <c r="E14" s="25">
        <v>127.91</v>
      </c>
      <c r="F14" s="37" t="s">
        <v>77</v>
      </c>
      <c r="G14" s="37" t="s">
        <v>105</v>
      </c>
    </row>
    <row r="15" spans="1:7" ht="110.1" customHeight="1" x14ac:dyDescent="0.25">
      <c r="A15" s="24">
        <v>13</v>
      </c>
      <c r="B15" s="24" t="s">
        <v>33</v>
      </c>
      <c r="C15" s="24" t="s">
        <v>34</v>
      </c>
      <c r="D15" s="4"/>
      <c r="E15" s="25">
        <v>20.010000000000002</v>
      </c>
      <c r="F15" s="37" t="s">
        <v>33</v>
      </c>
      <c r="G15" s="37" t="s">
        <v>106</v>
      </c>
    </row>
    <row r="16" spans="1:7" ht="110.1" customHeight="1" x14ac:dyDescent="0.25">
      <c r="A16" s="24">
        <v>14</v>
      </c>
      <c r="B16" s="24" t="s">
        <v>83</v>
      </c>
      <c r="C16" s="24" t="s">
        <v>43</v>
      </c>
      <c r="D16" s="4"/>
      <c r="E16" s="25">
        <v>100.46</v>
      </c>
      <c r="F16" s="37" t="s">
        <v>107</v>
      </c>
      <c r="G16" s="37" t="s">
        <v>108</v>
      </c>
    </row>
    <row r="17" spans="1:7" ht="110.1" customHeight="1" x14ac:dyDescent="0.25">
      <c r="A17" s="24">
        <v>15</v>
      </c>
      <c r="B17" s="24" t="s">
        <v>84</v>
      </c>
      <c r="C17" s="24" t="s">
        <v>44</v>
      </c>
      <c r="D17" s="4"/>
      <c r="E17" s="25">
        <v>62.03</v>
      </c>
      <c r="F17" s="37" t="s">
        <v>109</v>
      </c>
      <c r="G17" s="37" t="s">
        <v>110</v>
      </c>
    </row>
    <row r="18" spans="1:7" ht="110.1" customHeight="1" x14ac:dyDescent="0.25">
      <c r="A18" s="24">
        <v>16</v>
      </c>
      <c r="B18" s="24" t="s">
        <v>85</v>
      </c>
      <c r="C18" s="24" t="s">
        <v>45</v>
      </c>
      <c r="D18" s="4"/>
      <c r="E18" s="25">
        <v>61.83</v>
      </c>
      <c r="F18" s="37" t="s">
        <v>111</v>
      </c>
      <c r="G18" s="37" t="s">
        <v>112</v>
      </c>
    </row>
    <row r="19" spans="1:7" ht="110.1" customHeight="1" x14ac:dyDescent="0.25">
      <c r="A19" s="24">
        <v>17</v>
      </c>
      <c r="B19" s="24" t="s">
        <v>86</v>
      </c>
      <c r="C19" s="24" t="s">
        <v>46</v>
      </c>
      <c r="D19" s="4"/>
      <c r="E19" s="25">
        <v>52.46</v>
      </c>
      <c r="F19" s="37" t="s">
        <v>86</v>
      </c>
      <c r="G19" s="37" t="s">
        <v>113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3BC66-4278-414B-99D1-B3D3CB8C4C54}">
  <sheetPr codeName="Planilha3"/>
  <dimension ref="A1:J18"/>
  <sheetViews>
    <sheetView workbookViewId="0">
      <selection sqref="A1:G1"/>
    </sheetView>
  </sheetViews>
  <sheetFormatPr defaultRowHeight="15" x14ac:dyDescent="0.25"/>
  <cols>
    <col min="1" max="1" width="18.85546875" bestFit="1" customWidth="1"/>
    <col min="2" max="2" width="18.140625" bestFit="1" customWidth="1"/>
    <col min="3" max="4" width="19.7109375" bestFit="1" customWidth="1"/>
    <col min="5" max="5" width="19" bestFit="1" customWidth="1"/>
    <col min="6" max="6" width="26.42578125" bestFit="1" customWidth="1"/>
    <col min="7" max="7" width="33.28515625" bestFit="1" customWidth="1"/>
    <col min="8" max="8" width="22" customWidth="1"/>
    <col min="9" max="9" width="58" customWidth="1"/>
    <col min="10" max="10" width="22" customWidth="1"/>
  </cols>
  <sheetData>
    <row r="1" spans="1:10" ht="40.5" x14ac:dyDescent="0.25">
      <c r="A1" s="29" t="s">
        <v>49</v>
      </c>
      <c r="B1" s="29" t="s">
        <v>47</v>
      </c>
      <c r="C1" s="29" t="s">
        <v>2</v>
      </c>
      <c r="D1" s="29" t="s">
        <v>50</v>
      </c>
      <c r="E1" s="29" t="s">
        <v>51</v>
      </c>
      <c r="F1" s="29" t="s">
        <v>52</v>
      </c>
      <c r="G1" s="30" t="s">
        <v>53</v>
      </c>
      <c r="H1" s="35" t="s">
        <v>114</v>
      </c>
      <c r="I1" s="36" t="s">
        <v>115</v>
      </c>
      <c r="J1" s="36" t="s">
        <v>116</v>
      </c>
    </row>
    <row r="2" spans="1:10" ht="30" x14ac:dyDescent="0.25">
      <c r="A2" s="4">
        <v>101</v>
      </c>
      <c r="B2" s="4">
        <v>1</v>
      </c>
      <c r="C2" s="4" t="str">
        <f>VLOOKUP(B2,Compostos!$A$3:$F$19,3,FALSE)</f>
        <v>Ácido Clorídrico</v>
      </c>
      <c r="D2" s="11">
        <v>0.1</v>
      </c>
      <c r="E2" s="4">
        <v>25</v>
      </c>
      <c r="F2" s="12">
        <v>1</v>
      </c>
      <c r="G2" s="4" t="s">
        <v>56</v>
      </c>
      <c r="H2" s="34" t="s">
        <v>117</v>
      </c>
      <c r="I2" s="38" t="s">
        <v>118</v>
      </c>
      <c r="J2" s="34">
        <v>0</v>
      </c>
    </row>
    <row r="3" spans="1:10" ht="30" x14ac:dyDescent="0.25">
      <c r="A3" s="4">
        <v>102</v>
      </c>
      <c r="B3" s="4">
        <v>2</v>
      </c>
      <c r="C3" s="4" t="str">
        <f>VLOOKUP(B3,Compostos!$A$3:$F$19,3,FALSE)</f>
        <v>Ácido Sulfúrico</v>
      </c>
      <c r="D3" s="11">
        <v>0.1</v>
      </c>
      <c r="E3" s="4">
        <v>25</v>
      </c>
      <c r="F3" s="12">
        <v>0.96</v>
      </c>
      <c r="G3" s="4" t="s">
        <v>58</v>
      </c>
      <c r="H3" s="34" t="s">
        <v>117</v>
      </c>
      <c r="I3" s="38" t="s">
        <v>119</v>
      </c>
      <c r="J3" s="34">
        <v>0</v>
      </c>
    </row>
    <row r="4" spans="1:10" ht="30" x14ac:dyDescent="0.25">
      <c r="A4" s="4">
        <v>103</v>
      </c>
      <c r="B4" s="4">
        <v>3</v>
      </c>
      <c r="C4" s="4" t="str">
        <f>VLOOKUP(B4,Compostos!$A$3:$F$19,3,FALSE)</f>
        <v>Hidróxido de Sódio</v>
      </c>
      <c r="D4" s="11">
        <v>0.1</v>
      </c>
      <c r="E4" s="4">
        <v>25</v>
      </c>
      <c r="F4" s="12">
        <v>13</v>
      </c>
      <c r="G4" s="4" t="s">
        <v>57</v>
      </c>
      <c r="H4" s="34" t="s">
        <v>117</v>
      </c>
      <c r="I4" s="38" t="s">
        <v>120</v>
      </c>
      <c r="J4" s="34">
        <v>0</v>
      </c>
    </row>
    <row r="5" spans="1:10" ht="30" x14ac:dyDescent="0.25">
      <c r="A5" s="4">
        <v>104</v>
      </c>
      <c r="B5" s="4">
        <v>4</v>
      </c>
      <c r="C5" s="4" t="str">
        <f>VLOOKUP(B5,Compostos!$A$3:$F$19,3,FALSE)</f>
        <v>Ácido Nítrico</v>
      </c>
      <c r="D5" s="11">
        <v>0.1</v>
      </c>
      <c r="E5" s="4">
        <v>25</v>
      </c>
      <c r="F5" s="12">
        <v>1</v>
      </c>
      <c r="G5" s="4" t="s">
        <v>72</v>
      </c>
      <c r="H5" s="34" t="s">
        <v>117</v>
      </c>
      <c r="I5" s="38" t="s">
        <v>121</v>
      </c>
      <c r="J5" s="34">
        <v>0</v>
      </c>
    </row>
    <row r="6" spans="1:10" ht="30" x14ac:dyDescent="0.25">
      <c r="A6" s="4">
        <v>105</v>
      </c>
      <c r="B6" s="4">
        <v>5</v>
      </c>
      <c r="C6" s="4" t="str">
        <f>VLOOKUP(B6,Compostos!$A$3:$F$19,3,FALSE)</f>
        <v>Amônia</v>
      </c>
      <c r="D6" s="11">
        <v>0.1</v>
      </c>
      <c r="E6" s="4">
        <v>25</v>
      </c>
      <c r="F6" s="12">
        <v>11.12</v>
      </c>
      <c r="G6" s="4" t="s">
        <v>59</v>
      </c>
      <c r="H6" s="34" t="s">
        <v>117</v>
      </c>
      <c r="I6" s="38" t="s">
        <v>122</v>
      </c>
      <c r="J6" s="34">
        <v>0</v>
      </c>
    </row>
    <row r="7" spans="1:10" ht="30" x14ac:dyDescent="0.25">
      <c r="A7" s="4">
        <v>106</v>
      </c>
      <c r="B7" s="4">
        <v>6</v>
      </c>
      <c r="C7" s="4" t="str">
        <f>VLOOKUP(B7,Compostos!$A$3:$F$19,3,FALSE)</f>
        <v>Hidróxido de Amônio</v>
      </c>
      <c r="D7" s="11">
        <v>0.1</v>
      </c>
      <c r="E7" s="4">
        <v>25</v>
      </c>
      <c r="F7" s="12">
        <v>11.12</v>
      </c>
      <c r="G7" s="4" t="s">
        <v>59</v>
      </c>
      <c r="H7" s="34" t="s">
        <v>117</v>
      </c>
      <c r="I7" s="38" t="s">
        <v>123</v>
      </c>
      <c r="J7" s="34">
        <v>0</v>
      </c>
    </row>
    <row r="8" spans="1:10" ht="30" x14ac:dyDescent="0.25">
      <c r="A8" s="4">
        <v>107</v>
      </c>
      <c r="B8" s="4">
        <v>7</v>
      </c>
      <c r="C8" s="4" t="str">
        <f>VLOOKUP(B8,Compostos!$A$3:$F$19,3,FALSE)</f>
        <v>Cloreto de Sódio</v>
      </c>
      <c r="D8" s="11">
        <v>0.1</v>
      </c>
      <c r="E8" s="4">
        <v>25</v>
      </c>
      <c r="F8" s="12">
        <v>7</v>
      </c>
      <c r="G8" s="4" t="s">
        <v>60</v>
      </c>
      <c r="H8" s="34" t="s">
        <v>117</v>
      </c>
      <c r="I8" s="38" t="s">
        <v>124</v>
      </c>
      <c r="J8" s="34">
        <v>0</v>
      </c>
    </row>
    <row r="9" spans="1:10" ht="30" x14ac:dyDescent="0.25">
      <c r="A9" s="4">
        <v>108</v>
      </c>
      <c r="B9" s="4">
        <v>8</v>
      </c>
      <c r="C9" s="4" t="str">
        <f>VLOOKUP(B9,Compostos!$A$3:$F$19,3,FALSE)</f>
        <v>Cloreto de Potássio</v>
      </c>
      <c r="D9" s="11">
        <v>0.1</v>
      </c>
      <c r="E9" s="4">
        <v>25</v>
      </c>
      <c r="F9" s="12">
        <v>7</v>
      </c>
      <c r="G9" s="4" t="s">
        <v>60</v>
      </c>
      <c r="H9" s="34" t="s">
        <v>117</v>
      </c>
      <c r="I9" s="38" t="s">
        <v>125</v>
      </c>
      <c r="J9" s="34">
        <v>0</v>
      </c>
    </row>
    <row r="10" spans="1:10" ht="30" x14ac:dyDescent="0.25">
      <c r="A10" s="4">
        <v>109</v>
      </c>
      <c r="B10" s="4">
        <v>9</v>
      </c>
      <c r="C10" s="4" t="str">
        <f>VLOOKUP(B10,Compostos!$A$3:$F$19,3,FALSE)</f>
        <v>Hidróxido de Cálcio</v>
      </c>
      <c r="D10" s="11">
        <v>0.1</v>
      </c>
      <c r="E10" s="4">
        <v>25</v>
      </c>
      <c r="F10" s="12" t="s">
        <v>54</v>
      </c>
      <c r="G10" s="4" t="s">
        <v>63</v>
      </c>
      <c r="H10" s="34" t="s">
        <v>117</v>
      </c>
      <c r="I10" s="38" t="s">
        <v>126</v>
      </c>
      <c r="J10" s="34">
        <v>0</v>
      </c>
    </row>
    <row r="11" spans="1:10" ht="30" x14ac:dyDescent="0.25">
      <c r="A11" s="4">
        <v>110</v>
      </c>
      <c r="B11" s="4">
        <v>10</v>
      </c>
      <c r="C11" s="4" t="str">
        <f>VLOOKUP(B11,Compostos!$A$3:$F$19,3,FALSE)</f>
        <v>Cloreto de Amônio</v>
      </c>
      <c r="D11" s="11">
        <v>0.1</v>
      </c>
      <c r="E11" s="4">
        <v>25</v>
      </c>
      <c r="F11" s="12">
        <v>5.13</v>
      </c>
      <c r="G11" s="4" t="s">
        <v>61</v>
      </c>
      <c r="H11" s="34" t="s">
        <v>117</v>
      </c>
      <c r="I11" s="38" t="s">
        <v>127</v>
      </c>
      <c r="J11" s="34">
        <v>0</v>
      </c>
    </row>
    <row r="12" spans="1:10" ht="30" x14ac:dyDescent="0.25">
      <c r="A12" s="4">
        <v>111</v>
      </c>
      <c r="B12" s="4">
        <v>11</v>
      </c>
      <c r="C12" s="4" t="str">
        <f>VLOOKUP(B12,Compostos!$A$3:$F$19,3,FALSE)</f>
        <v>Ácido Bromídrico</v>
      </c>
      <c r="D12" s="11">
        <v>0.1</v>
      </c>
      <c r="E12" s="4">
        <v>25</v>
      </c>
      <c r="F12" s="12">
        <v>1</v>
      </c>
      <c r="G12" s="4" t="s">
        <v>56</v>
      </c>
      <c r="H12" s="34" t="s">
        <v>117</v>
      </c>
      <c r="I12" s="38" t="s">
        <v>128</v>
      </c>
      <c r="J12" s="34">
        <v>0</v>
      </c>
    </row>
    <row r="13" spans="1:10" ht="30" x14ac:dyDescent="0.25">
      <c r="A13" s="4">
        <v>112</v>
      </c>
      <c r="B13" s="4">
        <v>12</v>
      </c>
      <c r="C13" s="4" t="str">
        <f>VLOOKUP(B13,Compostos!$A$3:$F$19,3,FALSE)</f>
        <v>Ácido Iodídrico</v>
      </c>
      <c r="D13" s="11">
        <v>0.1</v>
      </c>
      <c r="E13" s="4">
        <v>25</v>
      </c>
      <c r="F13" s="12">
        <v>1</v>
      </c>
      <c r="G13" s="4" t="s">
        <v>64</v>
      </c>
      <c r="H13" s="34" t="s">
        <v>117</v>
      </c>
      <c r="I13" s="38" t="s">
        <v>129</v>
      </c>
      <c r="J13" s="34">
        <v>0</v>
      </c>
    </row>
    <row r="14" spans="1:10" ht="30" x14ac:dyDescent="0.25">
      <c r="A14" s="4">
        <v>113</v>
      </c>
      <c r="B14" s="4">
        <v>13</v>
      </c>
      <c r="C14" s="4" t="str">
        <f>VLOOKUP(B14,Compostos!$A$3:$F$19,3,FALSE)</f>
        <v>Ácido Fluorídrico</v>
      </c>
      <c r="D14" s="11">
        <v>0.1</v>
      </c>
      <c r="E14" s="4">
        <v>25</v>
      </c>
      <c r="F14" s="12">
        <v>2.11</v>
      </c>
      <c r="G14" s="4" t="s">
        <v>62</v>
      </c>
      <c r="H14" s="34" t="s">
        <v>117</v>
      </c>
      <c r="I14" s="38" t="s">
        <v>130</v>
      </c>
      <c r="J14" s="34">
        <v>0</v>
      </c>
    </row>
    <row r="15" spans="1:10" ht="30" x14ac:dyDescent="0.25">
      <c r="A15" s="4">
        <v>114</v>
      </c>
      <c r="B15" s="4">
        <v>14</v>
      </c>
      <c r="C15" s="4" t="str">
        <f>VLOOKUP(B15,Compostos!$A$3:$F$19,3,FALSE)</f>
        <v>Ácido Perclórico</v>
      </c>
      <c r="D15" s="11">
        <v>0.1</v>
      </c>
      <c r="E15" s="4">
        <v>25</v>
      </c>
      <c r="F15" s="12">
        <v>1</v>
      </c>
      <c r="G15" s="4" t="s">
        <v>56</v>
      </c>
      <c r="H15" s="34" t="s">
        <v>117</v>
      </c>
      <c r="I15" s="38" t="s">
        <v>131</v>
      </c>
      <c r="J15" s="34">
        <v>0</v>
      </c>
    </row>
    <row r="16" spans="1:10" ht="30" x14ac:dyDescent="0.25">
      <c r="A16" s="4">
        <v>115</v>
      </c>
      <c r="B16" s="4">
        <v>15</v>
      </c>
      <c r="C16" s="4" t="str">
        <f>VLOOKUP(B16,Compostos!$A$3:$F$19,3,FALSE)</f>
        <v>Ácido Carbônico</v>
      </c>
      <c r="D16" s="11">
        <v>0.1</v>
      </c>
      <c r="E16" s="4">
        <v>25</v>
      </c>
      <c r="F16" s="13" t="s">
        <v>55</v>
      </c>
      <c r="G16" s="4" t="s">
        <v>62</v>
      </c>
      <c r="H16" s="34" t="s">
        <v>117</v>
      </c>
      <c r="I16" s="38" t="s">
        <v>132</v>
      </c>
      <c r="J16" s="34">
        <v>0</v>
      </c>
    </row>
    <row r="17" spans="1:10" ht="30" x14ac:dyDescent="0.25">
      <c r="A17" s="4">
        <v>116</v>
      </c>
      <c r="B17" s="4">
        <v>16</v>
      </c>
      <c r="C17" s="4" t="str">
        <f>VLOOKUP(B17,Compostos!$A$3:$F$19,3,FALSE)</f>
        <v>Ácido Bórico</v>
      </c>
      <c r="D17" s="11">
        <v>0.1</v>
      </c>
      <c r="E17" s="4">
        <v>25</v>
      </c>
      <c r="F17" s="12">
        <v>5.13</v>
      </c>
      <c r="G17" s="4" t="s">
        <v>62</v>
      </c>
      <c r="H17" s="34" t="s">
        <v>117</v>
      </c>
      <c r="I17" s="38" t="s">
        <v>133</v>
      </c>
      <c r="J17" s="34">
        <v>0</v>
      </c>
    </row>
    <row r="18" spans="1:10" ht="30" x14ac:dyDescent="0.25">
      <c r="A18" s="4">
        <v>117</v>
      </c>
      <c r="B18" s="4">
        <v>17</v>
      </c>
      <c r="C18" s="4" t="str">
        <f>VLOOKUP(B18,Compostos!$A$3:$F$19,3,FALSE)</f>
        <v>Ácido Hipocloroso</v>
      </c>
      <c r="D18" s="11">
        <v>0.1</v>
      </c>
      <c r="E18" s="4">
        <v>25</v>
      </c>
      <c r="F18" s="12">
        <v>4.2699999999999996</v>
      </c>
      <c r="G18" s="4" t="s">
        <v>62</v>
      </c>
      <c r="H18" s="34" t="s">
        <v>117</v>
      </c>
      <c r="I18" s="38" t="s">
        <v>134</v>
      </c>
      <c r="J18" s="34">
        <v>0</v>
      </c>
    </row>
  </sheetData>
  <dataValidations count="1">
    <dataValidation type="list" sqref="J2:J18" xr:uid="{00000000-0002-0000-02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C11"/>
  <sheetViews>
    <sheetView tabSelected="1"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32" customWidth="1"/>
    <col min="2" max="2" width="46" customWidth="1"/>
    <col min="3" max="3" width="78" customWidth="1"/>
  </cols>
  <sheetData>
    <row r="1" spans="1:3" ht="30" customHeight="1" x14ac:dyDescent="0.25">
      <c r="A1" s="39" t="s">
        <v>135</v>
      </c>
      <c r="B1" s="39" t="s">
        <v>136</v>
      </c>
      <c r="C1" s="39" t="s">
        <v>137</v>
      </c>
    </row>
    <row r="2" spans="1:3" ht="38.1" customHeight="1" x14ac:dyDescent="0.25">
      <c r="A2" s="40" t="s">
        <v>138</v>
      </c>
      <c r="B2" s="41" t="s">
        <v>164</v>
      </c>
      <c r="C2" s="40" t="s">
        <v>139</v>
      </c>
    </row>
    <row r="3" spans="1:3" ht="38.1" customHeight="1" x14ac:dyDescent="0.25">
      <c r="A3" s="40" t="s">
        <v>140</v>
      </c>
      <c r="B3" s="41" t="s">
        <v>165</v>
      </c>
      <c r="C3" s="40" t="s">
        <v>141</v>
      </c>
    </row>
    <row r="4" spans="1:3" ht="38.1" customHeight="1" x14ac:dyDescent="0.25">
      <c r="A4" s="40" t="s">
        <v>142</v>
      </c>
      <c r="B4" s="40" t="s">
        <v>161</v>
      </c>
      <c r="C4" s="40" t="s">
        <v>143</v>
      </c>
    </row>
    <row r="5" spans="1:3" ht="38.1" customHeight="1" x14ac:dyDescent="0.25">
      <c r="A5" s="40" t="s">
        <v>144</v>
      </c>
      <c r="B5" s="40" t="s">
        <v>145</v>
      </c>
      <c r="C5" s="40" t="s">
        <v>146</v>
      </c>
    </row>
    <row r="6" spans="1:3" ht="38.1" customHeight="1" x14ac:dyDescent="0.25">
      <c r="A6" s="40" t="s">
        <v>147</v>
      </c>
      <c r="B6" s="40" t="s">
        <v>148</v>
      </c>
      <c r="C6" s="40" t="s">
        <v>149</v>
      </c>
    </row>
    <row r="7" spans="1:3" ht="38.1" customHeight="1" x14ac:dyDescent="0.25">
      <c r="A7" s="40" t="s">
        <v>150</v>
      </c>
      <c r="B7" s="41" t="s">
        <v>166</v>
      </c>
      <c r="C7" s="40" t="s">
        <v>151</v>
      </c>
    </row>
    <row r="8" spans="1:3" ht="38.1" customHeight="1" x14ac:dyDescent="0.25">
      <c r="A8" s="40" t="s">
        <v>152</v>
      </c>
      <c r="B8" s="40"/>
      <c r="C8" s="40" t="s">
        <v>153</v>
      </c>
    </row>
    <row r="9" spans="1:3" ht="38.1" customHeight="1" x14ac:dyDescent="0.25">
      <c r="A9" s="40" t="s">
        <v>154</v>
      </c>
      <c r="B9" s="40" t="s">
        <v>162</v>
      </c>
      <c r="C9" s="40" t="s">
        <v>155</v>
      </c>
    </row>
    <row r="10" spans="1:3" ht="38.1" customHeight="1" x14ac:dyDescent="0.25">
      <c r="A10" s="40" t="s">
        <v>156</v>
      </c>
      <c r="B10" s="40" t="s">
        <v>157</v>
      </c>
      <c r="C10" s="40" t="s">
        <v>158</v>
      </c>
    </row>
    <row r="11" spans="1:3" ht="38.1" customHeight="1" x14ac:dyDescent="0.25">
      <c r="A11" s="40" t="s">
        <v>159</v>
      </c>
      <c r="B11" s="40" t="s">
        <v>163</v>
      </c>
      <c r="C11" s="40" t="s">
        <v>160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Analises</vt:lpstr>
      <vt:lpstr>Compostos</vt:lpstr>
      <vt:lpstr>ReferênciaPH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CRISTIANE AP LEMES BRUNO</dc:creator>
  <cp:lastModifiedBy>CRISTIANE AP LEMES BRUNO</cp:lastModifiedBy>
  <dcterms:created xsi:type="dcterms:W3CDTF">2026-07-30T20:21:55Z</dcterms:created>
  <dcterms:modified xsi:type="dcterms:W3CDTF">2026-10-13T09:39:44Z</dcterms:modified>
</cp:coreProperties>
</file>